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Download\"/>
    </mc:Choice>
  </mc:AlternateContent>
  <xr:revisionPtr revIDLastSave="0" documentId="13_ncr:1_{B61FA803-1638-421C-90E2-FDFA49FE45BC}" xr6:coauthVersionLast="47" xr6:coauthVersionMax="47" xr10:uidLastSave="{00000000-0000-0000-0000-000000000000}"/>
  <bookViews>
    <workbookView xWindow="-108" yWindow="-108" windowWidth="23256" windowHeight="13176" xr2:uid="{00000000-000D-0000-FFFF-FFFF00000000}"/>
  </bookViews>
  <sheets>
    <sheet name="Tổng hợp" sheetId="1" r:id="rId1"/>
    <sheet name="Đường link quan trọng" sheetId="2" r:id="rId2"/>
    <sheet name="Thành viên nhóm" sheetId="3" r:id="rId3"/>
    <sheet name="Danh sách User Story" sheetId="4" r:id="rId4"/>
    <sheet name="Backlog" sheetId="5" r:id="rId5"/>
    <sheet name="Lộ trình" sheetId="6" r:id="rId6"/>
    <sheet name="Đặc tả tính năng" sheetId="7" r:id="rId7"/>
    <sheet name="Theo dõi lỗi" sheetId="8" r:id="rId8"/>
    <sheet name="Tài liệu quan trọng" sheetId="9" r:id="rId9"/>
    <sheet name="Hướng dẫn sử dụng" sheetId="10" r:id="rId10"/>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B27" i="1"/>
  <c r="B26" i="1"/>
  <c r="G22" i="1"/>
  <c r="F22" i="1"/>
  <c r="E22" i="1"/>
  <c r="G21" i="1"/>
  <c r="F21" i="1"/>
  <c r="E21" i="1"/>
  <c r="G20" i="1"/>
  <c r="F20" i="1"/>
  <c r="E20" i="1"/>
  <c r="G19" i="1"/>
  <c r="F19" i="1"/>
  <c r="E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None</author>
  </authors>
  <commentList>
    <comment ref="B3" authorId="0" shapeId="0" xr:uid="{00000000-0006-0000-0000-000001000000}">
      <text>
        <r>
          <rPr>
            <sz val="11"/>
            <color theme="1"/>
            <rFont val="Calibri"/>
            <scheme val="minor"/>
          </rPr>
          <t>Hiện mới có prototype UI dùng mock data; backend, PDF pipeline và evaluator chưa được triển khai.</t>
        </r>
      </text>
    </comment>
    <comment ref="A19" authorId="1" shapeId="0" xr:uid="{00000000-0006-0000-0000-000002000000}">
      <text>
        <r>
          <rPr>
            <sz val="11"/>
            <color theme="1"/>
            <rFont val="Calibri"/>
            <scheme val="minor"/>
          </rPr>
          <t>Week 1</t>
        </r>
      </text>
    </comment>
    <comment ref="A20" authorId="1" shapeId="0" xr:uid="{00000000-0006-0000-0000-000003000000}">
      <text>
        <r>
          <rPr>
            <sz val="11"/>
            <color theme="1"/>
            <rFont val="Calibri"/>
            <scheme val="minor"/>
          </rPr>
          <t>Week 2 &amp; Week 3</t>
        </r>
      </text>
    </comment>
    <comment ref="A21" authorId="1" shapeId="0" xr:uid="{00000000-0006-0000-0000-000004000000}">
      <text>
        <r>
          <rPr>
            <sz val="11"/>
            <color theme="1"/>
            <rFont val="Calibri"/>
            <scheme val="minor"/>
          </rPr>
          <t>Week 4 &amp; Week 5</t>
        </r>
      </text>
    </comment>
    <comment ref="A22" authorId="1" shapeId="0" xr:uid="{00000000-0006-0000-0000-000005000000}">
      <text>
        <r>
          <rPr>
            <sz val="11"/>
            <color theme="1"/>
            <rFont val="Calibri"/>
            <scheme val="minor"/>
          </rPr>
          <t>Week 6</t>
        </r>
      </text>
    </comment>
  </commentList>
</comments>
</file>

<file path=xl/sharedStrings.xml><?xml version="1.0" encoding="utf-8"?>
<sst xmlns="http://schemas.openxmlformats.org/spreadsheetml/2006/main" count="1141" uniqueCount="788">
  <si>
    <t>HỒ SƠ QUẢN LÝ DỰ ÁN</t>
  </si>
  <si>
    <t>Được cập nhật liên tục bởi Trưởng nhóm — Nguồn tin cậy duy nhất về tình hình dự án</t>
  </si>
  <si>
    <t>Tình hình hiện tại</t>
  </si>
  <si>
    <t>Có rủi ro</t>
  </si>
  <si>
    <t>Tên dự án</t>
  </si>
  <si>
    <t>DocGrading — Hệ thống đánh giá chất lượng báo cáo SRS</t>
  </si>
  <si>
    <t>Nhóm</t>
  </si>
  <si>
    <t>DocGrading</t>
  </si>
  <si>
    <t>Ngày bắt đầu</t>
  </si>
  <si>
    <t>Ngày kết thúc dự kiến</t>
  </si>
  <si>
    <t>Trưởng nhóm</t>
  </si>
  <si>
    <t>Mentor phụ trách</t>
  </si>
  <si>
    <t>Đối tác sử dụng (Stakeholder)</t>
  </si>
  <si>
    <t>Giảng viên và sinh viên trong học phần có bài báo cáo SRS</t>
  </si>
  <si>
    <t>Kho lưu mã nguồn (GitHub)</t>
  </si>
  <si>
    <t>https://github.com/mchienn/DocGrading</t>
  </si>
  <si>
    <t>Địa chỉ sản phẩm (Live URL)</t>
  </si>
  <si>
    <t>Mục tiêu dự án</t>
  </si>
  <si>
    <t>Hoàn thành MVP nhận PDF text-native, đánh giá SRS có bằng chứng, Teacher duyệt/công bố và Student xem kết quả; AI chỉ tạo đề xuất.</t>
  </si>
  <si>
    <t>TỔNG HỢP TIẾN ĐỘ THEO SPRINT</t>
  </si>
  <si>
    <t>Sprint</t>
  </si>
  <si>
    <t>Giai đoạn</t>
  </si>
  <si>
    <t>Từ ngày</t>
  </si>
  <si>
    <t>Đến ngày</t>
  </si>
  <si>
    <t>Tổng số việc</t>
  </si>
  <si>
    <t>Đã xong</t>
  </si>
  <si>
    <t>Đang làm</t>
  </si>
  <si>
    <t>Trạng thái</t>
  </si>
  <si>
    <t>Sprint 1</t>
  </si>
  <si>
    <t>Product contract và nền tảng</t>
  </si>
  <si>
    <t>Sprint 2</t>
  </si>
  <si>
    <t>Intake và domain core</t>
  </si>
  <si>
    <t>Chưa bắt đầu</t>
  </si>
  <si>
    <t>Sprint 3</t>
  </si>
  <si>
    <t>Evaluation và review vertical slice</t>
  </si>
  <si>
    <t>Sprint 4</t>
  </si>
  <si>
    <t>Hardening, UAT và MVP release</t>
  </si>
  <si>
    <t>CHỈ SỐ THEO DÕI CHÍNH</t>
  </si>
  <si>
    <t>Tổng số User Story</t>
  </si>
  <si>
    <t>câu</t>
  </si>
  <si>
    <t>Tính năng đã hoàn thành</t>
  </si>
  <si>
    <t>Lỗi đang mở</t>
  </si>
  <si>
    <t>Nghiêm trọng / Cao / Trung bình / Thấp</t>
  </si>
  <si>
    <t>Số lần gặp đối tác</t>
  </si>
  <si>
    <t>lần</t>
  </si>
  <si>
    <t>Mức hài lòng (Demo)</t>
  </si>
  <si>
    <t>trên 10</t>
  </si>
  <si>
    <t>Tình trạng triển khai</t>
  </si>
  <si>
    <t>Local prototype — mock data, chưa có backend</t>
  </si>
  <si>
    <t>TẬP HỢP ĐƯỜNG LINK QUAN TRỌNG</t>
  </si>
  <si>
    <t>Lưu mọi đường link liên quan đến dự án — Cập nhật ngay khi có link mới</t>
  </si>
  <si>
    <t>STT</t>
  </si>
  <si>
    <t>Phân loại</t>
  </si>
  <si>
    <t>Nội dung / Mô tả</t>
  </si>
  <si>
    <t>Địa chỉ (URL)</t>
  </si>
  <si>
    <t>Người quản lý</t>
  </si>
  <si>
    <t>Ghi chú</t>
  </si>
  <si>
    <t>Mã nguồn và Triển khai</t>
  </si>
  <si>
    <t>Kho mã nguồn DocGrading</t>
  </si>
  <si>
    <t>Project team</t>
  </si>
  <si>
    <t>Main branch</t>
  </si>
  <si>
    <t>Địa chỉ sản phẩm (Production)</t>
  </si>
  <si>
    <t>Địa chỉ thử nghiệm (Staging)</t>
  </si>
  <si>
    <t>Quy trình tự động (CI/CD Pipeline)</t>
  </si>
  <si>
    <t>GitHub Actions, v.v.</t>
  </si>
  <si>
    <t>Trang giám sát hệ thống (Monitoring)</t>
  </si>
  <si>
    <t>Sentry, Langfuse, v.v.</t>
  </si>
  <si>
    <t>Tài liệu thiết kế</t>
  </si>
  <si>
    <t>Software Requirements Specification</t>
  </si>
  <si>
    <t>docs/requirements/SRS.docx</t>
  </si>
  <si>
    <t>PO/BA</t>
  </si>
  <si>
    <t>Source of truth cho FR/NFR/acceptance</t>
  </si>
  <si>
    <t>Prototype UI/UX</t>
  </si>
  <si>
    <t>https://www.figma.com/design/VNMmj3UUihw1Wp1duygxZl/Follow-Markdown-Guide</t>
  </si>
  <si>
    <t>UX/Frontend</t>
  </si>
  <si>
    <t>Skeleton reference</t>
  </si>
  <si>
    <t>Scope, Business Rules &amp; Tech Stack</t>
  </si>
  <si>
    <t>docs/design/PROJECT_SCOPE_BUSINESS_RULES_TECH_STACK.md</t>
  </si>
  <si>
    <t>PO/BA + Tech Lead</t>
  </si>
  <si>
    <t>Baseline ngày 21/08/2026</t>
  </si>
  <si>
    <t>WBS phát triển 1 tháng</t>
  </si>
  <si>
    <t>docs/planning/WBS_Phat_trien_1_thang.docx</t>
  </si>
  <si>
    <t>Kế hoạch 20 ngày làm việc</t>
  </si>
  <si>
    <t>Liên lạc và Hợp tác</t>
  </si>
  <si>
    <t>Kênh Discord nhóm</t>
  </si>
  <si>
    <t>Kênh họp trực tuyến (Teams/Zoom)</t>
  </si>
  <si>
    <t>Ổ đĩa dùng chung (Google Drive)</t>
  </si>
  <si>
    <t>Đối tác (Stakeholder)</t>
  </si>
  <si>
    <t>Biên bản họp với đối tác</t>
  </si>
  <si>
    <t>Google Doc, Notion, v.v.</t>
  </si>
  <si>
    <t>Báo cáo phản hồi từ đối tác</t>
  </si>
  <si>
    <t>DANH SÁCH THÀNH VIÊN NHÓM</t>
  </si>
  <si>
    <t>Thông tin thành viên và phân vai — Cập nhật khi có thay đổi nhân sự</t>
  </si>
  <si>
    <t>Họ và tên</t>
  </si>
  <si>
    <t>Vai trò chính</t>
  </si>
  <si>
    <t>Vai trò phụ</t>
  </si>
  <si>
    <t>Email</t>
  </si>
  <si>
    <t>Discord</t>
  </si>
  <si>
    <t>GitHub</t>
  </si>
  <si>
    <t>Cam kết (giờ/tuần)</t>
  </si>
  <si>
    <t>BẢNG THAM KHẢO PHÂN VAI</t>
  </si>
  <si>
    <t>Vai trò</t>
  </si>
  <si>
    <t>Trách nhiệm chính</t>
  </si>
  <si>
    <t>Kỹ năng cần có</t>
  </si>
  <si>
    <t>Công việc cụ thể trong giai đoạn RA</t>
  </si>
  <si>
    <t>Trưởng nhóm (Team Lead)</t>
  </si>
  <si>
    <t>Điều phối toàn bộ dự án, báo cáo mentor, chốt quyết định</t>
  </si>
  <si>
    <t>Quản lý, giao tiếp, kỹ thuật</t>
  </si>
  <si>
    <t>Phân việc, review code, báo cáo, gặp đối tác</t>
  </si>
  <si>
    <t>Lập trình Backend</t>
  </si>
  <si>
    <t>Phát triển API, cơ sở dữ liệu, logic server, xác thực người dùng</t>
  </si>
  <si>
    <t>Node.js / Python / Java, SQL/NoSQL</t>
  </si>
  <si>
    <t>Xây dựng API, triển khai server, viết test</t>
  </si>
  <si>
    <t>Lập trình Frontend</t>
  </si>
  <si>
    <t>Phát triển giao diện, trải nghiệm người dùng, tương tác</t>
  </si>
  <si>
    <t>React / Vue / Flutter, CSS, HTML</t>
  </si>
  <si>
    <t>Xây dựng giao diện, tích hợp API, kiểm thử</t>
  </si>
  <si>
    <t>Kỹ sư AI</t>
  </si>
  <si>
    <t>Mô hình AI, prompt engineering, pipeline AI, RAG</t>
  </si>
  <si>
    <t>Python, LLM APIs, embedding, vector DB</t>
  </si>
  <si>
    <t>Xây dựng tính năng AI, tối ưu mô hình, đánh giá</t>
  </si>
  <si>
    <t>Xử lý dữ liệu / Knowledge Base</t>
  </si>
  <si>
    <t>Thu thập, xử lý dữ liệu, xây dựng cơ sở tri thức</t>
  </si>
  <si>
    <t>Python, xử lý dữ liệu, vector DB</t>
  </si>
  <si>
    <t>Chuẩn bị dữ liệu, xây dựng KB, kiểm thử</t>
  </si>
  <si>
    <t>Kiểm thử / Đảm bảo chất lượng</t>
  </si>
  <si>
    <t>Kiểm thử sản phẩm, báo cáo lỗi, viết tài liệu</t>
  </si>
  <si>
    <t>Công cụ test, viết tài liệu, tỉ mỉ</t>
  </si>
  <si>
    <t>Viết test case, báo cáo lỗi, hướng dẫn sử dụng</t>
  </si>
  <si>
    <t>Bảng phân vai</t>
  </si>
  <si>
    <t>DANH SÁCH USER STORY / USE CASE</t>
  </si>
  <si>
    <t>Mọi tình huống sử dụng cần thực hiện — Mỗi câu chuyện có mã riêng để liên kết với Backlog</t>
  </si>
  <si>
    <t>Mã</t>
  </si>
  <si>
    <t>Tên câu chuyện sử dụng</t>
  </si>
  <si>
    <t>Mô tả ngắn</t>
  </si>
  <si>
    <t>Với vai trò</t>
  </si>
  <si>
    <t>Tôi muốn</t>
  </si>
  <si>
    <t>Để đạt được</t>
  </si>
  <si>
    <t>Mức ưu tiên</t>
  </si>
  <si>
    <t>Sprint dự kiến</t>
  </si>
  <si>
    <t>Xem đặc tả</t>
  </si>
  <si>
    <t>Epic 1: Xác thực, phân quyền và audit</t>
  </si>
  <si>
    <t>US-001</t>
  </si>
  <si>
    <t>Đăng nhập và đăng xuất</t>
  </si>
  <si>
    <t>Tài khoản do Admin tạo; không đăng ký công khai.</t>
  </si>
  <si>
    <t>Người dùng</t>
  </si>
  <si>
    <t>đăng nhập/đăng xuất an toàn</t>
  </si>
  <si>
    <t>vào đúng workspace theo quyền</t>
  </si>
  <si>
    <t>Bắt buộc</t>
  </si>
  <si>
    <t>Chưa làm</t>
  </si>
  <si>
    <t>US-002</t>
  </si>
  <si>
    <t>Chuyển workspace theo vai trò</t>
  </si>
  <si>
    <t>Prototype đã có role switcher; chưa có authorization backend.</t>
  </si>
  <si>
    <t>Người dùng có nhiều vai trò</t>
  </si>
  <si>
    <t>chuyển rõ giữa Admin, Teacher và Student</t>
  </si>
  <si>
    <t>không trộn menu hoặc dữ liệu giữa vai trò</t>
  </si>
  <si>
    <t>Đang review</t>
  </si>
  <si>
    <t>US-003</t>
  </si>
  <si>
    <t>Quản lý tài khoản và vai trò</t>
  </si>
  <si>
    <t>Admin tạo, khóa/mở khóa và gán vai trò.</t>
  </si>
  <si>
    <t>Admin</t>
  </si>
  <si>
    <t>quản lý tài khoản người dùng</t>
  </si>
  <si>
    <t>kiểm soát quyền truy cập hệ thống</t>
  </si>
  <si>
    <t>US-004</t>
  </si>
  <si>
    <t>Kiểm tra quyền theo đối tượng</t>
  </si>
  <si>
    <t>API kiểm tra role, ownership và phạm vi Course/Assignment.</t>
  </si>
  <si>
    <t>chỉ truy cập dữ liệu được phép</t>
  </si>
  <si>
    <t>bảo vệ PDF và kết quả của từng người</t>
  </si>
  <si>
    <t>US-005</t>
  </si>
  <si>
    <t>Audit thao tác nhạy cảm</t>
  </si>
  <si>
    <t>Lưu before/after, người thực hiện, lý do và thời điểm.</t>
  </si>
  <si>
    <t>Admin/Teacher</t>
  </si>
  <si>
    <t>tra cứu lịch sử thay đổi</t>
  </si>
  <si>
    <t>đối soát override, publish, retry và đổi quyền</t>
  </si>
  <si>
    <t>Epic 2: Course và Assignment</t>
  </si>
  <si>
    <t>US-006</t>
  </si>
  <si>
    <t>Quản lý Course</t>
  </si>
  <si>
    <t>Teacher tạo, sửa và mở workspace của Course.</t>
  </si>
  <si>
    <t>Teacher</t>
  </si>
  <si>
    <t>quản lý Assignment theo từng Course</t>
  </si>
  <si>
    <t>tổ chức môn học và bài nộp đúng phạm vi</t>
  </si>
  <si>
    <t>Đặc tả #1</t>
  </si>
  <si>
    <t>US-007</t>
  </si>
  <si>
    <t>Tạo và chỉnh sửa Assignment</t>
  </si>
  <si>
    <t>Wizard nhập details, due date, attempts và yêu cầu nộp.</t>
  </si>
  <si>
    <t>tạo/sửa Assignment trong Course</t>
  </si>
  <si>
    <t>công bố yêu cầu rõ ràng cho Student</t>
  </si>
  <si>
    <t>Epic 3: Rubric và yêu cầu nộp</t>
  </si>
  <si>
    <t>US-008</t>
  </si>
  <si>
    <t>Nhân bản rubric SRS mặc định</t>
  </si>
  <si>
    <t>Không sửa trực tiếp rubric hệ thống.</t>
  </si>
  <si>
    <t>chọn hoặc nhân bản rubric SRS</t>
  </si>
  <si>
    <t>cấu hình riêng mà vẫn giữ phiên bản gốc</t>
  </si>
  <si>
    <t>US-009</t>
  </si>
  <si>
    <t>Cấu hình criterion</t>
  </si>
  <si>
    <t>Tên, mô tả, scope, evaluator, mức 0–4, trọng số và evidence.</t>
  </si>
  <si>
    <t>cấu hình criterion trước khi mở bài</t>
  </si>
  <si>
    <t>chấm đúng yêu cầu học thuật</t>
  </si>
  <si>
    <t>US-010</t>
  </si>
  <si>
    <t>Validate rubric trước publish</t>
  </si>
  <si>
    <t>Tổng trọng số phải bằng 100%; lỗi neo đúng criterion.</t>
  </si>
  <si>
    <t>kiểm tra tính hợp lệ rubric</t>
  </si>
  <si>
    <t>không mở Assignment với cấu hình sai</t>
  </si>
  <si>
    <t>US-011</t>
  </si>
  <si>
    <t>Cấu hình yêu cầu nộp</t>
  </si>
  <si>
    <t>PDF chính, appendix tùy chọn, template và giới hạn file.</t>
  </si>
  <si>
    <t>chọn đúng deliverable cần nộp</t>
  </si>
  <si>
    <t>Student chuẩn bị đúng tài liệu</t>
  </si>
  <si>
    <t>US-012</t>
  </si>
  <si>
    <t>Preview và dry-run rubric</t>
  </si>
  <si>
    <t>Chạy thử trên một PDF text-native trước khi nhận bài.</t>
  </si>
  <si>
    <t>xem trước rubric và kết quả mẫu</t>
  </si>
  <si>
    <t>phát hiện cấu hình/evaluator lỗi sớm</t>
  </si>
  <si>
    <t>Nên có</t>
  </si>
  <si>
    <t>US-013</t>
  </si>
  <si>
    <t>Đóng băng phiên bản rubric</t>
  </si>
  <si>
    <t>Rubric đã có bài nộp trở thành bất biến.</t>
  </si>
  <si>
    <t>Teacher/Admin</t>
  </si>
  <si>
    <t>tạo phiên bản mới khi thay đổi</t>
  </si>
  <si>
    <t>không đổi cách chấm của kết quả cũ</t>
  </si>
  <si>
    <t>Epic 4: Nộp PDF và xử lý nền</t>
  </si>
  <si>
    <t>US-014</t>
  </si>
  <si>
    <t>Xem Assignment và rubric công khai</t>
  </si>
  <si>
    <t>Prototype danh sách Assignment đã có; chưa lấy dữ liệu thật.</t>
  </si>
  <si>
    <t>Student</t>
  </si>
  <si>
    <t>xem yêu cầu, deadline và rubric</t>
  </si>
  <si>
    <t>biết điều kiện trước khi nộp</t>
  </si>
  <si>
    <t>Đặc tả #2</t>
  </si>
  <si>
    <t>US-015</t>
  </si>
  <si>
    <t>Upload PDF</t>
  </si>
  <si>
    <t>Drag-and-drop/file picker, progress và giữ form khi lỗi.</t>
  </si>
  <si>
    <t>tải PDF lên Assignment đang mở</t>
  </si>
  <si>
    <t>tạo phiên bản bài nộp để đánh giá</t>
  </si>
  <si>
    <t>US-016</t>
  </si>
  <si>
    <t>Validate PDF text-native</t>
  </si>
  <si>
    <t>Kiểm tra magic bytes, MIME, 50 MB, 100 trang, password và trang scan.</t>
  </si>
  <si>
    <t>nhận lỗi PDF rõ ràng theo trang</t>
  </si>
  <si>
    <t>xuất lại đúng file mà không tạo job lỗi</t>
  </si>
  <si>
    <t>US-017</t>
  </si>
  <si>
    <t>Lưu phiên bản và checksum</t>
  </si>
  <si>
    <t>File riêng tư, SHA-256 và DocumentVersion bất biến.</t>
  </si>
  <si>
    <t>Hệ thống</t>
  </si>
  <si>
    <t>lưu mỗi lần nộp thành phiên bản riêng</t>
  </si>
  <si>
    <t>truy nguyên file và chống xử lý trùng</t>
  </si>
  <si>
    <t>US-018</t>
  </si>
  <si>
    <t>Theo dõi trạng thái xử lý</t>
  </si>
  <si>
    <t>Received → validating → queued → processing → review/error.</t>
  </si>
  <si>
    <t>xem tiến độ dễ hiểu</t>
  </si>
  <si>
    <t>biết khi nào cần chờ, nộp lại hoặc liên hệ Teacher</t>
  </si>
  <si>
    <t>US-019</t>
  </si>
  <si>
    <t>Retry job an toàn</t>
  </si>
  <si>
    <t>Tối đa ba lần, backoff và idempotency.</t>
  </si>
  <si>
    <t>retry job lỗi mà không upload lại</t>
  </si>
  <si>
    <t>khôi phục xử lý mà không tạo kết quả trùng</t>
  </si>
  <si>
    <t>US-020</t>
  </si>
  <si>
    <t>Nộp lại phiên bản mới</t>
  </si>
  <si>
    <t>Không ghi đè file, finding hoặc result cũ.</t>
  </si>
  <si>
    <t>nộp lại khi Assignment còn mở</t>
  </si>
  <si>
    <t>theo dõi cải thiện qua từng phiên bản</t>
  </si>
  <si>
    <t>Epic 5: Phân tích SRS và bằng chứng</t>
  </si>
  <si>
    <t>US-021</t>
  </si>
  <si>
    <t>Tạo Document IR</t>
  </si>
  <si>
    <t>Trích page, heading, section, block, table và coordinate một lần.</t>
  </si>
  <si>
    <t>chuẩn hóa nội dung PDF</t>
  </si>
  <si>
    <t>dùng chung dữ liệu cho mọi evaluator và evidence</t>
  </si>
  <si>
    <t>US-022</t>
  </si>
  <si>
    <t>Đánh giá 12 criterion SRS</t>
  </si>
  <si>
    <t>Rule/parser/NLP/LLM theo snapshot phiên bản.</t>
  </si>
  <si>
    <t>nhận đề xuất mức, điểm và finding</t>
  </si>
  <si>
    <t>giảm thời gian kiểm tra tài liệu SRS</t>
  </si>
  <si>
    <t>US-023</t>
  </si>
  <si>
    <t>Evidence và manual fallback</t>
  </si>
  <si>
    <t>Thiếu anchor/schema/confidence thì chuyển Needs manual review.</t>
  </si>
  <si>
    <t>chỉ xem đề xuất có bằng chứng kiểm tra được</t>
  </si>
  <si>
    <t>không nhận điểm AI thiếu căn cứ</t>
  </si>
  <si>
    <t>Epic 6: Teacher review workspace</t>
  </si>
  <si>
    <t>US-024</t>
  </si>
  <si>
    <t>Review PDF và finding song song</t>
  </si>
  <si>
    <t>Prototype split workspace đã có; cần tích hợp PDF.js và API.</t>
  </si>
  <si>
    <t>mở finding đúng trang/vùng PDF</t>
  </si>
  <si>
    <t>duyệt nhanh mà không rời workspace</t>
  </si>
  <si>
    <t>US-025</t>
  </si>
  <si>
    <t>Accept, edit, reject và autosave</t>
  </si>
  <si>
    <t>Override có lý do; soft lock và conflict không ghi đè.</t>
  </si>
  <si>
    <t>chỉnh đề xuất và lưu tự động</t>
  </si>
  <si>
    <t>giữ quyết định chuyên môn an toàn</t>
  </si>
  <si>
    <t>Epic 7: Duyệt và công bố</t>
  </si>
  <si>
    <t>US-026</t>
  </si>
  <si>
    <t>Duyệt tách khỏi công bố</t>
  </si>
  <si>
    <t>Chỉ đủ 12 criterion mới chuyển Approved.</t>
  </si>
  <si>
    <t>duyệt kết quả trước khi publish</t>
  </si>
  <si>
    <t>Student không thấy đề xuất chưa chốt</t>
  </si>
  <si>
    <t>US-027</t>
  </si>
  <si>
    <t>Công bố kết quả đã duyệt</t>
  </si>
  <si>
    <t>Publish atomic; batch publish từ chối bài chưa duyệt.</t>
  </si>
  <si>
    <t>publish một hoặc nhiều kết quả hợp lệ</t>
  </si>
  <si>
    <t>phản hồi chính thức tới Student</t>
  </si>
  <si>
    <t>US-028</t>
  </si>
  <si>
    <t>Version hóa kết quả công bố</t>
  </si>
  <si>
    <t>Sửa sau publish tạo PublishedResultVersion mới.</t>
  </si>
  <si>
    <t>giữ lịch sử result và override</t>
  </si>
  <si>
    <t>audit được mọi thay đổi điểm</t>
  </si>
  <si>
    <t>Epic 8: Kết quả và vòng lặp Student</t>
  </si>
  <si>
    <t>US-029</t>
  </si>
  <si>
    <t>Xem kết quả đã công bố</t>
  </si>
  <si>
    <t>Tổng điểm, feedback ghim và criterion breakdown.</t>
  </si>
  <si>
    <t>xem kết quả chính thức</t>
  </si>
  <si>
    <t>biết tiêu chí nào cần cải thiện</t>
  </si>
  <si>
    <t>US-030</t>
  </si>
  <si>
    <t>Mở bằng chứng và gợi ý sửa</t>
  </si>
  <si>
    <t>Chỉ hiển thị finding Teacher chấp nhận.</t>
  </si>
  <si>
    <t>đi tới evidence trong PDF</t>
  </si>
  <si>
    <t>hiểu lý do thay vì chỉ thấy điểm</t>
  </si>
  <si>
    <t>US-031</t>
  </si>
  <si>
    <t>So sánh hai phiên bản liền kề</t>
  </si>
  <si>
    <t>So sánh điểm criterion và finding mới/đã giải quyết.</t>
  </si>
  <si>
    <t>so sánh lần nộp hiện tại với lần trước</t>
  </si>
  <si>
    <t>đánh giá mức cải thiện</t>
  </si>
  <si>
    <t>US-032</t>
  </si>
  <si>
    <t>Gửi yêu cầu xem lại</t>
  </si>
  <si>
    <t>Một request mở/criterion/published version; giữ evidence và lịch sử.</t>
  </si>
  <si>
    <t>gửi lý do xem lại criterion</t>
  </si>
  <si>
    <t>nhận quyết định có audit từ Teacher</t>
  </si>
  <si>
    <t>US-033</t>
  </si>
  <si>
    <t>Nhận thông báo trong ứng dụng</t>
  </si>
  <si>
    <t>Upload lỗi, job lỗi, publish và review request update.</t>
  </si>
  <si>
    <t>mở notification tới đúng đối tượng</t>
  </si>
  <si>
    <t>không bỏ lỡ hành động quan trọng</t>
  </si>
  <si>
    <t>Epic 9: Admin operations và governance</t>
  </si>
  <si>
    <t>US-034</t>
  </si>
  <si>
    <t>Theo dõi queue và job</t>
  </si>
  <si>
    <t>Queue depth, age, status, correlation ID và retry.</t>
  </si>
  <si>
    <t>xem và xử lý job bất thường</t>
  </si>
  <si>
    <t>duy trì pipeline ổn định</t>
  </si>
  <si>
    <t>US-035</t>
  </si>
  <si>
    <t>Quản lý evaluator và release gate</t>
  </si>
  <si>
    <t>Version rule/prompt/model, benchmark, activate và rollback.</t>
  </si>
  <si>
    <t>Admin/Chủ sở hữu học thuật</t>
  </si>
  <si>
    <t>chỉ kích hoạt evaluator đạt gate</t>
  </si>
  <si>
    <t>kiểm soát chất lượng đề xuất AI</t>
  </si>
  <si>
    <t>US-036</t>
  </si>
  <si>
    <t>Audit và retention</t>
  </si>
  <si>
    <t>Tra cứu log, cấu hình lưu giữ/xuất/xóa dữ liệu.</t>
  </si>
  <si>
    <t>quản lý vòng đời dữ liệu và audit</t>
  </si>
  <si>
    <t>đảm bảo truy nguyên và riêng tư</t>
  </si>
  <si>
    <t>Epic 10: Chất lượng, bảo mật và vận hành</t>
  </si>
  <si>
    <t>US-037</t>
  </si>
  <si>
    <t>Benchmark SRS tiếng Việt</t>
  </si>
  <si>
    <t>Corpus tối thiểu 30 SRS đã ẩn danh và có nhãn Teacher.</t>
  </si>
  <si>
    <t>Chủ sở hữu học thuật</t>
  </si>
  <si>
    <t>đánh giá evaluator theo criterion</t>
  </si>
  <si>
    <t>chỉ bật tự động hóa có bằng chứng chất lượng</t>
  </si>
  <si>
    <t>US-038</t>
  </si>
  <si>
    <t>Bảo vệ upload và prompt injection</t>
  </si>
  <si>
    <t>PDF là dữ liệu không tin cậy; model không có quyền đặc biệt.</t>
  </si>
  <si>
    <t>chặn file/nội dung độc hại và rò rỉ</t>
  </si>
  <si>
    <t>bảo vệ tài liệu học thuật và hệ thống</t>
  </si>
  <si>
    <t>US-039</t>
  </si>
  <si>
    <t>Accessibility và responsive</t>
  </si>
  <si>
    <t>Keyboard, focus, screen reader, 200% text và 320 CSS px.</t>
  </si>
  <si>
    <t>thực hiện luồng chính bằng thiết bị hỗ trợ</t>
  </si>
  <si>
    <t>sử dụng hệ thống không bị loại trừ</t>
  </si>
  <si>
    <t>US-040</t>
  </si>
  <si>
    <t>Hiệu năng, observability và recovery</t>
  </si>
  <si>
    <t>p95 API ≤2s; 90% PDF ≤10 phút; backup/restore có kiểm chứng.</t>
  </si>
  <si>
    <t>theo dõi và khôi phục hệ thống</t>
  </si>
  <si>
    <t>đáp ứng profile nghiệm thu MVP</t>
  </si>
  <si>
    <t>US-041</t>
  </si>
  <si>
    <t>Xuất kết quả đã công bố</t>
  </si>
  <si>
    <t>Loại bỏ model/prompt/confidence nội bộ khỏi file xuất.</t>
  </si>
  <si>
    <t>Student/Teacher</t>
  </si>
  <si>
    <t>xuất điểm, feedback và evidence link</t>
  </si>
  <si>
    <t>lưu/chia sẻ kết quả đọc được</t>
  </si>
  <si>
    <t>THANG MỨC ƯU TIÊN</t>
  </si>
  <si>
    <t>Sản phẩm không hoạt động nếu thiếu — Phải hoàn thành</t>
  </si>
  <si>
    <t>Tăng giá trị đáng kể nhưng không ảnh hưởng đến hoạt động cốt lõi</t>
  </si>
  <si>
    <t>Có thì tốt</t>
  </si>
  <si>
    <t>Làm nếu còn thời gian — Không ảnh hưởng nếu bỏ qua</t>
  </si>
  <si>
    <t>Không làm</t>
  </si>
  <si>
    <t>Ngoài phạm vi giai đoạn này</t>
  </si>
  <si>
    <t>BACKLOG — QUẢN LÝ CÔNG VIỆC THEO SPRINT</t>
  </si>
  <si>
    <t>Mọi công việc của dự án, chia theo Sprint, liên kết với User Story, có hạn chót và người phụ trách rõ ràng</t>
  </si>
  <si>
    <t>Mã việc</t>
  </si>
  <si>
    <t>Tên công việc</t>
  </si>
  <si>
    <t>Mã US liên quan</t>
  </si>
  <si>
    <t>Mô tả chi tiết</t>
  </si>
  <si>
    <t>Ưu tiên</t>
  </si>
  <si>
    <t>Dự kiến (giờ)</t>
  </si>
  <si>
    <t>Người phụ trách</t>
  </si>
  <si>
    <t>Hạn chót</t>
  </si>
  <si>
    <t>Link Spec / PR</t>
  </si>
  <si>
    <t>Vướng mắc</t>
  </si>
  <si>
    <t>Sprint 1: Khởi động và Thiết kế (W1-W2)</t>
  </si>
  <si>
    <t>T-001</t>
  </si>
  <si>
    <t>Chốt SRS, scope, business rules và acceptance</t>
  </si>
  <si>
    <t>US-001–US-041</t>
  </si>
  <si>
    <t>Đối chiếu yêu cầu, out-of-scope, state machine và acceptance.</t>
  </si>
  <si>
    <t>P0</t>
  </si>
  <si>
    <t>Hoàn thành</t>
  </si>
  <si>
    <t>Baseline đã có.</t>
  </si>
  <si>
    <t>T-002</t>
  </si>
  <si>
    <t>Hoàn thiện prototype UI ba workspace</t>
  </si>
  <si>
    <t>US-002, US-003, US-014, US-024, US-029, US-034</t>
  </si>
  <si>
    <t>Admin/Teacher/Student bằng mock data, English system copy.</t>
  </si>
  <si>
    <t>Frontend + UX</t>
  </si>
  <si>
    <t>frontend/src/app/App.tsx</t>
  </si>
  <si>
    <t>Chưa kết nối backend.</t>
  </si>
  <si>
    <t>T-003</t>
  </si>
  <si>
    <t>Hoàn thiện Course → Assignment wizard</t>
  </si>
  <si>
    <t>US-006–US-011</t>
  </si>
  <si>
    <t>Course workspace, requirements, rubric, draft và publish UI.</t>
  </si>
  <si>
    <t>State chỉ lưu trong React.</t>
  </si>
  <si>
    <t>T-004</t>
  </si>
  <si>
    <t>Review prototype và chốt API contract</t>
  </si>
  <si>
    <t>Map UI state với API/domain; lập gap list và contract test map.</t>
  </si>
  <si>
    <t>PO/BA + FE + BE</t>
  </si>
  <si>
    <t>docs/design/PROTOTYPE_CONTEXT.md</t>
  </si>
  <si>
    <t>SRS §5.7 ghi Next.js; baseline kỹ thuật chọn React/Vite.</t>
  </si>
  <si>
    <t>Phải reconcile trước implementation.</t>
  </si>
  <si>
    <t>T-005</t>
  </si>
  <si>
    <t>Khởi tạo backend, cấu trúc repo và CI</t>
  </si>
  <si>
    <t>US-004, US-040</t>
  </si>
  <si>
    <t>FastAPI, worker, lint/test/build và một lệnh chạy local.</t>
  </si>
  <si>
    <t>Backend + DevOps</t>
  </si>
  <si>
    <t>Không đổi stack khi chưa chốt conflict T-004.</t>
  </si>
  <si>
    <t>Sprint 2: Phát triển vòng 1 (W2-W3)</t>
  </si>
  <si>
    <t>T-006</t>
  </si>
  <si>
    <t>Thiết kế schema và migration domain</t>
  </si>
  <si>
    <t>User/Course/Assignment/Rubric/Submission/Job/Result/Audit.</t>
  </si>
  <si>
    <t>Backend</t>
  </si>
  <si>
    <t>T-007</t>
  </si>
  <si>
    <t>Triển khai authentication, RBAC và audit</t>
  </si>
  <si>
    <t>US-001–US-005</t>
  </si>
  <si>
    <t>Session, Argon2id, ownership và audit event.</t>
  </si>
  <si>
    <t>Backend + Frontend</t>
  </si>
  <si>
    <t>T-008</t>
  </si>
  <si>
    <t>Triển khai Course, Assignment và Rubric API</t>
  </si>
  <si>
    <t>US-006–US-013</t>
  </si>
  <si>
    <t>CRUD, draft/publish, validation 100% và version bất biến.</t>
  </si>
  <si>
    <t>T-009</t>
  </si>
  <si>
    <t>Triển khai PDF upload, storage và job lifecycle</t>
  </si>
  <si>
    <t>US-014–US-020</t>
  </si>
  <si>
    <t>Validation, private storage, checksum, queue, retry idempotent.</t>
  </si>
  <si>
    <t>Cần object storage và Redis.</t>
  </si>
  <si>
    <t>Sprint 3: Phát triển vòng 2 và Sửa lỗi (W4-W5)</t>
  </si>
  <si>
    <t>T-010</t>
  </si>
  <si>
    <t>Xây Document IR và evaluator rule nền tảng</t>
  </si>
  <si>
    <t>US-021–US-023</t>
  </si>
  <si>
    <t>Heading/section, table empty-cell, terminology và evidence anchor.</t>
  </si>
  <si>
    <t>AI/Document</t>
  </si>
  <si>
    <t>Ưu tiên vertical slice text-native.</t>
  </si>
  <si>
    <t>T-011</t>
  </si>
  <si>
    <t>Tích hợp Submission Queue và Review Workspace</t>
  </si>
  <si>
    <t>US-024–US-025</t>
  </si>
  <si>
    <t>PDF.js, finding↔evidence, autosave, soft lock và override.</t>
  </si>
  <si>
    <t>Frontend + Backend</t>
  </si>
  <si>
    <t>Phụ thuộc Document IR/API.</t>
  </si>
  <si>
    <t>T-012</t>
  </si>
  <si>
    <t>Hoàn thành approve, publish và Student result</t>
  </si>
  <si>
    <t>US-026–US-030</t>
  </si>
  <si>
    <t>Approved tách Published; result chỉ hiện dữ liệu đã duyệt.</t>
  </si>
  <si>
    <t>Gate vertical slice cuối Sprint 3.</t>
  </si>
  <si>
    <t>Sprint 4: Hoàn thiện và Bàn giao (W6)</t>
  </si>
  <si>
    <t>T-013</t>
  </si>
  <si>
    <t>LLM adapter, schema và manual fallback</t>
  </si>
  <si>
    <t>US-022–US-023</t>
  </si>
  <si>
    <t>Structured output, versioning, retry một lần và evidence validation.</t>
  </si>
  <si>
    <t>AI + Backend</t>
  </si>
  <si>
    <t>Không bật criterion chưa qua gate.</t>
  </si>
  <si>
    <t>T-014</t>
  </si>
  <si>
    <t>Benchmark evaluator và release gate</t>
  </si>
  <si>
    <t>US-035, US-037</t>
  </si>
  <si>
    <t>Corpus SRS tiếng Việt, báo cáo theo criterion và phê duyệt.</t>
  </si>
  <si>
    <t>AI + QA + PO/BA</t>
  </si>
  <si>
    <t>Thiếu corpus/Teacher label sẽ chặn tự động hóa.</t>
  </si>
  <si>
    <t>Fallback rule/manual.</t>
  </si>
  <si>
    <t>T-015</t>
  </si>
  <si>
    <t>Nộp lại và so sánh phiên bản</t>
  </si>
  <si>
    <t>US-020, US-031</t>
  </si>
  <si>
    <t>Version mới độc lập; so sánh criterion/finding liền kề.</t>
  </si>
  <si>
    <t>P1</t>
  </si>
  <si>
    <t>T-016</t>
  </si>
  <si>
    <t>Yêu cầu xem lại theo criterion</t>
  </si>
  <si>
    <t>Thread bất biến, quyết định mới và notification.</t>
  </si>
  <si>
    <t>T-017</t>
  </si>
  <si>
    <t>Thông báo trong ứng dụng</t>
  </si>
  <si>
    <t>Upload/job/publish/review-request deep link.</t>
  </si>
  <si>
    <t>T-018</t>
  </si>
  <si>
    <t>Admin user, job, evaluator và audit</t>
  </si>
  <si>
    <t>US-003, US-034–US-036</t>
  </si>
  <si>
    <t>Role changes, queue/job retry, release gate và audit detail.</t>
  </si>
  <si>
    <t>T-019</t>
  </si>
  <si>
    <t>Security và adversarial test</t>
  </si>
  <si>
    <t>US-004, US-038</t>
  </si>
  <si>
    <t>RBAC, file validation, prompt injection, XSS và log privacy.</t>
  </si>
  <si>
    <t>QA + Backend + AI</t>
  </si>
  <si>
    <t>T-020</t>
  </si>
  <si>
    <t>Accessibility và responsive QA</t>
  </si>
  <si>
    <t>Keyboard, focus, axe, 200% text và 320 px Student flow.</t>
  </si>
  <si>
    <t>QA + Frontend</t>
  </si>
  <si>
    <t>T-021</t>
  </si>
  <si>
    <t>Unit, integration, contract và E2E</t>
  </si>
  <si>
    <t>Critical service coverage và AT-30 end-to-end.</t>
  </si>
  <si>
    <t>All + QA</t>
  </si>
  <si>
    <t>T-022</t>
  </si>
  <si>
    <t>Load, metrics, backup và restore smoke</t>
  </si>
  <si>
    <t>p95, 10 concurrent jobs, queue metrics và restore drill.</t>
  </si>
  <si>
    <t>QA + DevOps</t>
  </si>
  <si>
    <t>T-023</t>
  </si>
  <si>
    <t>UAT và sửa blocker</t>
  </si>
  <si>
    <t>Teacher/Student giả lập, critical acceptance và regression.</t>
  </si>
  <si>
    <t>All</t>
  </si>
  <si>
    <t>T-024</t>
  </si>
  <si>
    <t>Demo MVP và tài liệu release</t>
  </si>
  <si>
    <t>Demo script, release note, runbook và known limitations.</t>
  </si>
  <si>
    <t>LỘ TRÌNH DỰ ÁN — CÁC MỐC CHÍNH</t>
  </si>
  <si>
    <t>Tổng hợp các mốc quan trọng — Cập nhật trạng thái ngay khi đạt được</t>
  </si>
  <si>
    <t>Mốc quan trọng</t>
  </si>
  <si>
    <t>Tuần</t>
  </si>
  <si>
    <t>Người chịu trách nhiệm</t>
  </si>
  <si>
    <t>Kết quả giao nộp</t>
  </si>
  <si>
    <t>M1</t>
  </si>
  <si>
    <t>Product contract và prototype baseline</t>
  </si>
  <si>
    <t>SRS, scope/business rules, WBS và prototype UI được đối chiếu.</t>
  </si>
  <si>
    <t>W1</t>
  </si>
  <si>
    <t>PO/BA + UX + Frontend</t>
  </si>
  <si>
    <t>SRS, scope note, WBS, prototype UI</t>
  </si>
  <si>
    <t>M2</t>
  </si>
  <si>
    <t>API contract và nền tảng repo</t>
  </si>
  <si>
    <t>Chốt stack, domain/API contract, backend scaffold và CI.</t>
  </si>
  <si>
    <t>Tech Lead + FE/BE</t>
  </si>
  <si>
    <t>API contract, schema draft, CI xanh</t>
  </si>
  <si>
    <t>M3</t>
  </si>
  <si>
    <t>Auth và Course/Assignment/Rubric</t>
  </si>
  <si>
    <t>Ba role qua API; rubric versioned và Assignment nhận bài hợp lệ.</t>
  </si>
  <si>
    <t>W2</t>
  </si>
  <si>
    <t>RBAC E2E, rubric publish, Course workspace tích hợp</t>
  </si>
  <si>
    <t>M4</t>
  </si>
  <si>
    <t>PDF intake và Document IR</t>
  </si>
  <si>
    <t>PDF text-native tạo version/job và sinh IR có tọa độ.</t>
  </si>
  <si>
    <t>Backend + AI/Document</t>
  </si>
  <si>
    <t>Upload validation, job lifecycle, Document IR</t>
  </si>
  <si>
    <t>M5</t>
  </si>
  <si>
    <t>Evaluation có evidence</t>
  </si>
  <si>
    <t>Rule/LLM/manual trả kết quả schema hợp lệ và evidence kiểm tra được.</t>
  </si>
  <si>
    <t>W3</t>
  </si>
  <si>
    <t>AI/Document + QA</t>
  </si>
  <si>
    <t>3 rule evaluator, LLM adapter, evidence anchors</t>
  </si>
  <si>
    <t>M6</t>
  </si>
  <si>
    <t>Review và publish end-to-end</t>
  </si>
  <si>
    <t>Teacher review/override/approve/publish; Student chỉ thấy result đã publish.</t>
  </si>
  <si>
    <t>AT-30 vertical slice bằng dữ liệu kiểm thử</t>
  </si>
  <si>
    <t>M7</t>
  </si>
  <si>
    <t>Governance và hardening</t>
  </si>
  <si>
    <t>Benchmark, security, accessibility, load và restore smoke đạt gate.</t>
  </si>
  <si>
    <t>W4</t>
  </si>
  <si>
    <t>QA + DevOps + PO/BA</t>
  </si>
  <si>
    <t>Gate report, test evidence, known limitations</t>
  </si>
  <si>
    <t>M8</t>
  </si>
  <si>
    <t>UAT và MVP release demo</t>
  </si>
  <si>
    <t>Không còn blocker; Product Owner chấp nhận phạm vi MVP.</t>
  </si>
  <si>
    <t>UAT sign-off, demo script, release notes</t>
  </si>
  <si>
    <t>ĐẶC TẢ TÍNH NĂNG / FEATURE SPECIFICATION</t>
  </si>
  <si>
    <t>Mô tả chi tiết từng tính năng theo cấu trúc: Động lực → Thiết kế → Kế hoạch</t>
  </si>
  <si>
    <t>ĐẶC TẢ #1</t>
  </si>
  <si>
    <t>Mã User Story liên quan</t>
  </si>
  <si>
    <t>Tên tính năng</t>
  </si>
  <si>
    <t>Course, Assignment and Rubric Management</t>
  </si>
  <si>
    <t>Người viết</t>
  </si>
  <si>
    <t>PO/BA + Frontend + Backend</t>
  </si>
  <si>
    <t>Ngày tạo</t>
  </si>
  <si>
    <t>21/08/2026</t>
  </si>
  <si>
    <t>Ngày cập nhật gần nhất</t>
  </si>
  <si>
    <t>25/08/2026</t>
  </si>
  <si>
    <t>1. ĐỘNG LÝ (MOTIVATION)</t>
  </si>
  <si>
    <t>Vấn đề cần giải quyết</t>
  </si>
  <si>
    <t>Teacher cần quản lý bài nộp theo Course thay vì danh sách assessment phẳng; mỗi Assignment phải khóa rõ yêu cầu nộp và rubric áp dụng.</t>
  </si>
  <si>
    <t>Người dùng mục tiêu</t>
  </si>
  <si>
    <t>Teacher phụ trách Course; Student được ghi danh vào Course/Assignment; Admin quản lý rubric hệ thống.</t>
  </si>
  <si>
    <t>Mục tiêu kỳ vọng</t>
  </si>
  <si>
    <t>Tạo/sửa Course và Assignment; lưu nháp; cấu hình requirements/rubric; chỉ publish khi hợp lệ; giữ version bất biến khi đã nhận bài.</t>
  </si>
  <si>
    <t>Phương án thay thế đã xem xét</t>
  </si>
  <si>
    <t>Danh sách assessment phẳng bị loại vì khó quản lý theo môn học. Cho phép sửa rubric đã dùng bị loại vì phá tính công bằng và audit.</t>
  </si>
  <si>
    <t>2. THIẾT KẾ (DESIGN)</t>
  </si>
  <si>
    <t>Kiến trúc hệ thống</t>
  </si>
  <si>
    <t>Frontend hiện tại: React + TypeScript + Vite. Target API: FastAPI; PostgreSQL lưu domain/version. SRS §5.7 còn ghi Next.js 16 và phải được reconcile ở T-004 trước implementation.</t>
  </si>
  <si>
    <t>Thiết kế giao diện (UI/UX)</t>
  </si>
  <si>
    <t>Course list → Course workspace → Assignment wizard 4 bước: Details → Submission requirements → Rubric → Review. Giữ skeleton grayscale và English system copy.</t>
  </si>
  <si>
    <t>Thiết kế API</t>
  </si>
  <si>
    <t>Course/Assignment/Rubric CRUD; save draft; validate; publish/close; clone rubric; preview/dry-run. Mọi endpoint kiểm tra role và ownership.</t>
  </si>
  <si>
    <t>Mô hình dữ liệu</t>
  </si>
  <si>
    <t>Course, Membership, Assignment, AssignmentRequirement, RubricVersion, CriterionVersion, TemplateVersion và AuditEvent.</t>
  </si>
  <si>
    <t>Thiết kế AI/ML</t>
  </si>
  <si>
    <t>Không chạy evaluator trong feature này. Chỉ lưu cấu hình evaluator/version; dry-run tạo job riêng và không tạo điểm chính thức.</t>
  </si>
  <si>
    <t>Trường hợp đặc biệt và Xử lý lỗi</t>
  </si>
  <si>
    <t>Tổng weight ≠100; thiếu mức/evaluator/evidence; Assignment đã có submission; concurrent update; Course không thuộc Teacher.</t>
  </si>
  <si>
    <t>Bảo mật và Quyền riêng tư</t>
  </si>
  <si>
    <t>Object authorization ở API; optimistic concurrency; audit clone/publish/close; file template lưu private và URL ngắn hạn.</t>
  </si>
  <si>
    <t>3. KẾ HOẠCH (PLAN)</t>
  </si>
  <si>
    <t>Các bước thực hiện</t>
  </si>
  <si>
    <t>1) Reconcile contract/stack. 2) Schema/migration. 3) API Course/Assignment. 4) Rubric versioning. 5) Integrate prototype. 6) Contract/E2E tests.</t>
  </si>
  <si>
    <t>Công việc con (liên kết Backlog)</t>
  </si>
  <si>
    <t>T-004, T-006, T-007, T-008, T-021</t>
  </si>
  <si>
    <t>Phụ thuộc</t>
  </si>
  <si>
    <t>Phụ thuộc auth/RBAC, domain schema và quyết định frontend stack; dry-run phụ thuộc PDF upload/job.</t>
  </si>
  <si>
    <t>Timeline dự kiến</t>
  </si>
  <si>
    <t>Sprint 1–2: 21/08/2026 → 03/09/2026.</t>
  </si>
  <si>
    <t>Kế hoạch kiểm thử</t>
  </si>
  <si>
    <t>API authorization; save/reopen draft; weight 99/100/101; publish version; submission freezes rubric; concurrent revision conflict.</t>
  </si>
  <si>
    <t>Kế hoạch triển khai</t>
  </si>
  <si>
    <t>Feature flag theo workspace demo; migrate dữ liệu mẫu; chưa mở Assignment thật trước khi RBAC/audit pass.</t>
  </si>
  <si>
    <t>Tiêu chí thành công</t>
  </si>
  <si>
    <t>Teacher tạo Course và publish Assignment hợp lệ; rubric version không đổi sau submission; Student chỉ thấy Assignment được phép.</t>
  </si>
  <si>
    <t>Rủi ro và Cách giảm thiểu</t>
  </si>
  <si>
    <t>Conflict SRS/tech note; scope rubric builder lớn; versioning sai có thể đổi kết quả cũ. Giảm thiểu bằng contract decision, immutable rows và integration test.</t>
  </si>
  <si>
    <t>────────────────────────────────────────────────────────────────────────────────</t>
  </si>
  <si>
    <t>ĐẶC TẢ #2</t>
  </si>
  <si>
    <t>US-014–US-030</t>
  </si>
  <si>
    <t>Evidence-backed PDF Evaluation, Teacher Review and Publication</t>
  </si>
  <si>
    <t>PO/BA + Frontend + Backend + AI/Document</t>
  </si>
  <si>
    <t>Bản nháp</t>
  </si>
  <si>
    <t>Teacher cần giảm thời gian kiểm tra SRS nhưng AI không được tạo điểm chính thức hoặc finding thiếu bằng chứng.</t>
  </si>
  <si>
    <t>Student nộp PDF text-native; Teacher review; Admin theo dõi job/evaluator.</t>
  </si>
  <si>
    <t>Một PDF hợp lệ đi end-to-end: version → job → Document IR → criterion result/finding/evidence → Teacher approve/publish → Student xem result.</t>
  </si>
  <si>
    <t>Chấm hoàn toàn tự động bị loại. OCR/PDF scan bị loại trong MVP. Khi evaluator chưa đạt gate, dùng rule/manual fallback.</t>
  </si>
  <si>
    <t>FastAPI tạo job; Celery+Redis xử lý; private object storage; PostgreSQL lưu snapshot/result/audit; frontend PDF.js hiển thị evidence.</t>
  </si>
  <si>
    <t>Student upload/status; Teacher Submission Queue; Review workspace PDF 60–70% + panel 360–480 px + action bar; Student published result.</t>
  </si>
  <si>
    <t>Upload/init/finalize, submissions/versions, jobs/status/retry, document IR, evaluations, review autosave/lock, approve, publish và student result.</t>
  </si>
  <si>
    <t>Submission, DocumentVersion, AnalysisJob, DocumentIR/Page/Block/Table, CriterionResult, Finding, EvidenceAnchor, ReviewDecision, PublishedResultVersion.</t>
  </si>
  <si>
    <t>Evaluator adapter theo criterion; structured JSON Schema/Pydantic; snapshot parser/rule/prompt/model; evidence bắt buộc; manual fallback khi fail/gate chưa đạt.</t>
  </si>
  <si>
    <t>PDF scan/password/JS; duplicate upload; worker retry; missing evidence; low confidence; stale version; lost connection; two reviewers; publish incomplete.</t>
  </si>
  <si>
    <t>Magic bytes/MIME/size/page limits; signed URL 5 phút; content untrusted; no model access to DB/secrets; XSS-safe rendering; audit mọi override/publish.</t>
  </si>
  <si>
    <t>1) Upload/storage/job. 2) Document IR. 3) Rule evaluator. 4) Review/evidence. 5) Approve/publish/result. 6) LLM/gate. 7) Hardening/UAT.</t>
  </si>
  <si>
    <t>T-009–T-024</t>
  </si>
  <si>
    <t>Phụ thuộc auth/RBAC, rubric snapshot, object storage, Redis, 30 SRS tiếng Việt đã ẩn danh và Teacher label.</t>
  </si>
  <si>
    <t>Sprint 2–4: 28/08/2026 → 17/09/2026.</t>
  </si>
  <si>
    <t>Corpus valid/invalid PDF; evidence coordinate; job retry/idempotency; review lock/autosave; publish visibility; prompt injection; AT-30.</t>
  </si>
  <si>
    <t>Vertical slice rule-based trước; evaluator LLM sau feature flag; release chỉ khi benchmark, security/a11y/load smoke đạt.</t>
  </si>
  <si>
    <t>100% published result có Teacher approval; 100% automated finding có criterion/page/evidence; AT-30 pass; không lộ result trước publish.</t>
  </si>
  <si>
    <t>Parser/anchor không ổn định, thiếu corpus, LLM hallucination, review UI quá tải và scope 20 ngày. Giảm thiểu bằng text-native only, gate, manual fallback và cắt phần ngoài MVP.</t>
  </si>
  <si>
    <t>THEO DÕI LỖI (BUG TRACKING)</t>
  </si>
  <si>
    <t>Báo cáo ngay khi phát hiện lỗi — Cập nhật trạng thái khi xử lý xong</t>
  </si>
  <si>
    <t>Mã lỗi</t>
  </si>
  <si>
    <t>Tiêu đề lỗi</t>
  </si>
  <si>
    <t>Cách tái hiện</t>
  </si>
  <si>
    <t>Mức nghiêm trọng</t>
  </si>
  <si>
    <t>Người xử lý</t>
  </si>
  <si>
    <t>Ngày phát hiện</t>
  </si>
  <si>
    <t>Ngày sửa / Ghi chú</t>
  </si>
  <si>
    <t>BUG-000</t>
  </si>
  <si>
    <t>TEMPLATE — Thay bằng tiêu đề lỗi thực tế</t>
  </si>
  <si>
    <t>[Mô tả hành vi thực tế, phạm vi ảnh hưởng và môi trường]</t>
  </si>
  <si>
    <t>1. Điều kiện trước
2. Các bước tái hiện
3. Kết quả mong đợi và kết quả thực tế</t>
  </si>
  <si>
    <t>[Người xử lý]</t>
  </si>
  <si>
    <t>BUG-000 chỉ là dòng mẫu; không tính là lỗi đang mở.</t>
  </si>
  <si>
    <t>BUG-001</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</si>
  <si>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</si>
  <si>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</si>
  <si>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</si>
  <si>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</si>
  <si>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</si>
  <si>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</si>
  <si>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</si>
  <si>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</si>
  <si>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</si>
  <si>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</si>
  <si>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</si>
  <si>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</si>
  <si>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</si>
  <si>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</si>
  <si>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</si>
  <si>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</si>
  <si>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</si>
  <si>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</si>
  <si>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</si>
  <si>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</si>
  <si>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</si>
  <si>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</si>
  <si>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</si>
  <si>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</si>
  <si>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</si>
  <si>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</si>
  <si>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</si>
  <si>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</si>
  <si>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</si>
  <si>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THANG MỨC NGHIÊM TRỌNG</t>
  </si>
  <si>
    <t>Nghiêm trọng</t>
  </si>
  <si>
    <t>Ứng dụng sập hoặc mất dữ liệu — Không thể sử dụng được</t>
  </si>
  <si>
    <t>Cao</t>
  </si>
  <si>
    <t>Tính năng chính không hoạt động đúng, ảnh hưởng nhiều người dùng</t>
  </si>
  <si>
    <t>Trung bình</t>
  </si>
  <si>
    <t>Tính năng phụ bị lỗi, trải nghiệm không tốt nhưng vẫn dùng được</t>
  </si>
  <si>
    <t>Thấp</t>
  </si>
  <si>
    <t>Lỗi nhỏ, liên quan giao diện, không ảnh hưởng chức năng</t>
  </si>
  <si>
    <t>DANH SÁCH TÀI LIỆU QUAN TRỌNG</t>
  </si>
  <si>
    <t>Tập hợp link tới mọi tài liệu dự án — Cập nhật ngay khi có tài liệu mới</t>
  </si>
  <si>
    <t>Tên tài liệu</t>
  </si>
  <si>
    <t>Đường link</t>
  </si>
  <si>
    <t>Người tạo</t>
  </si>
  <si>
    <t>Cập nhật lần cuối</t>
  </si>
  <si>
    <t>Quy trình và Hướng dẫn</t>
  </si>
  <si>
    <t>FR/NFR, business rules, use case và acceptance</t>
  </si>
  <si>
    <t>Quy chế làm việc nội bộ</t>
  </si>
  <si>
    <t>Quy tắc phân việc, họp hành, liên lạc</t>
  </si>
  <si>
    <t>WBS phát triển MVP 1 tháng</t>
  </si>
  <si>
    <t>Kế hoạch 20 ngày, mốc gate và rủi ro</t>
  </si>
  <si>
    <t>Thiết kế và Đặc tả</t>
  </si>
  <si>
    <t>Baseline scope, rubric SRS, state machine và kiến trúc mục tiêu</t>
  </si>
  <si>
    <t>Prototype Context</t>
  </si>
  <si>
    <t>Screen map, user flow và quy tắc UI</t>
  </si>
  <si>
    <t>Tài liệu API</t>
  </si>
  <si>
    <t>Swagger / Postman — Danh sách endpoints</t>
  </si>
  <si>
    <t>Sơ đồ cơ sở dữ liệu</t>
  </si>
  <si>
    <t>ER diagram, cấu trúc bảng, quan hệ</t>
  </si>
  <si>
    <t>Figma prototype</t>
  </si>
  <si>
    <t>Skeleton UI Admin/Teacher/Student</t>
  </si>
  <si>
    <t>Báo cáo và Biên bản họp</t>
  </si>
  <si>
    <t>Ghi chép mọi buổi gặp với stakeholder</t>
  </si>
  <si>
    <t>Báo cáo phản hồi Demo 1</t>
  </si>
  <si>
    <t>Phản hồi từ đối tác sau buổi demo lần 1</t>
  </si>
  <si>
    <t>Báo cáo phản hồi Demo 2</t>
  </si>
  <si>
    <t>Phản hồi từ đối tác sau buổi demo lần 2</t>
  </si>
  <si>
    <t>Báo cáo tuần</t>
  </si>
  <si>
    <t>Tổng hợp tình hình từng tuần gửi mentor</t>
  </si>
  <si>
    <t>Tài liệu kỹ thuật</t>
  </si>
  <si>
    <t>DocGrading repository</t>
  </si>
  <si>
    <t>Source code và lịch sử thay đổi</t>
  </si>
  <si>
    <t>Hướng dẫn triển khai (Deployment Guide)</t>
  </si>
  <si>
    <t>Quy trình deploy lên staging và production</t>
  </si>
  <si>
    <t>Tài liệu kiểm thử</t>
  </si>
  <si>
    <t>Test cases, kết quả test, ghi chú QA</t>
  </si>
  <si>
    <t>Frontend README</t>
  </si>
  <si>
    <t>Cách chạy React/Vite prototype</t>
  </si>
  <si>
    <t>frontend/README.md</t>
  </si>
  <si>
    <t>Frontend</t>
  </si>
  <si>
    <t>Tác động và Thuyết trình</t>
  </si>
  <si>
    <t>Báo cáo tác động (Impact Report)</t>
  </si>
  <si>
    <t>Chỉ số đo lường, kết quả thực tế, bài học</t>
  </si>
  <si>
    <t>Slide thuyết trình cuối kỳ</t>
  </si>
  <si>
    <t>Slide cho buổi đánh giá cuối kỳ</t>
  </si>
  <si>
    <t>Kịch bản demo</t>
  </si>
  <si>
    <t>Kịch bản chi tiết cho Demo 1 và Demo 2</t>
  </si>
  <si>
    <t>HƯỚNG DẪN SỬ DỤNG TEMPLATE</t>
  </si>
  <si>
    <t>Đọc kỹ trước khi bắt đầu điền — Tránh sai sót và tận dụng tối đa các tính năng</t>
  </si>
  <si>
    <t>A. TỔNG QUAN VỀ TEMPLATE</t>
  </si>
  <si>
    <t>Mục đích</t>
  </si>
  <si>
    <t>Template này là hồ sơ quản lý dự án duy nhất của nhóm. Mọi thông tin về tiến độ, công việc, lỗi, và tài liệu đều được ghi nhận tại đây. Trưởng nhóm chịu trách nhiệm cập nhật liên tục.</t>
  </si>
  <si>
    <t>Nguyên tắc cốt lõi</t>
  </si>
  <si>
    <t>• Chỉ có 1 bản duy nhất — không tách file, không copy
• Cập nhật ít nhất 1 lần/ngày trong giờ làm việc
• Mọi thành viên đều đọc được, chỉ Trưởng nhóm và người được ủy quyền mới sửa</t>
  </si>
  <si>
    <t>Đối tượng sử dụng</t>
  </si>
  <si>
    <t>• Trưởng nhóm: Quản lý, phân việc, báo cáo
• Thành viên: Xem công việc, cập nhật trạng thái
• Mentor: Theo dõi tiến độ, đánh giá
• Đối tác (Stakeholder): XemDemo, phản hồi</t>
  </si>
  <si>
    <t>B. HƯỚNG DẪN TỪNG SHEET</t>
  </si>
  <si>
    <t>1. Tổng hợp</t>
  </si>
  <si>
    <t>• Điền thông tin dự án ở phần đầu (tên, nhóm, ngày, trưởng nhóm)
• Chọn "Tình hình hiện tại" ở ô B3: Đúng tiến độ / Có rủi ro / Bị kẹt
• Các chỉ số ở dưới sẽ tự động đếm từ các sheet khác (không cần điền tay)
• Cập nhật trạng thái Sprint khi bắt đầu/kết thúc mỗi Sprint</t>
  </si>
  <si>
    <t>2. Đường link quan trọng</t>
  </si>
  <si>
    <t>• Dán mọi link liên quan vào đúng phân loại
• Khi thêm link mới, điền ngay "Người quản lý" để biết ai phụ trách
• Xóa placeholder [Dán link vào đây] khi đã điền link thật</t>
  </si>
  <si>
    <t>3. Thành viên nhóm</t>
  </si>
  <si>
    <t>• Điền đủ 4 thành viên với vai trò chính xác
• Tham khảo bảng phân vai bên dưới để hiểu trách nhiệm mỗi vai
• Cập nhật nếu có thay đổi nhân sự</t>
  </si>
  <si>
    <t>4. Danh sách User Story</t>
  </si>
  <si>
    <t>• Viết theo cấu trúc: "Với vai trò [X], tôi muốn [Y], để đạt được [Z]"
• Chọn Mức ưu tiên từ dropdown: Bắt buộc / Nên có / Có thì tốt / Không làm
• Mã US (US-001, US-002...) dùng để liên kết với Backlog và Đặc tả</t>
  </si>
  <si>
    <t>5. Lộ trình</t>
  </si>
  <si>
    <t>• 8 mốc quan trọng đã được tạo sẵn theo quy trình 6 tuần
• Cập nhật ngày cụ thể khi bắt đầu dự án
• Chuyển trạng thái sang "Hoàn thành" ngay khi đạt được mốc</t>
  </si>
  <si>
    <t>6. Backlog</t>
  </si>
  <si>
    <t>• Đây là sheet quan trọng nhất — Phân công và theo dõi mọi công việc
• Mỗi việc phải có: Mã US liên quan, Người phụ trách, Hạn chót, Trạng thái
• Ưu tiên P0 = phải làm ngay, P3 = làm nếu còn thời gian
• Trạng thái sẽ tự đổi màu: Xanh = Hoàn thành, Vàng = Đang làm, Đỏ = Bị kẹt</t>
  </si>
  <si>
    <t>7. Đặc tả tính năng</t>
  </si>
  <si>
    <t>• Viết đặc tả theo 3 phần: Động lực → Thiết kế → Kế hoạch
• Mỗi tính năng quan trọng cần có 1 đặc tả riêng
• Liên kết mã US và mã Task từ Backlog để dễ tra cứu</t>
  </si>
  <si>
    <t>8. Theo dõi lỗi</t>
  </si>
  <si>
    <t>• Báo lỗi ngay khi phát hiện — không đợi
• Điền đủ "Cách tái hiện" để người sửa hiểu rõ vấn đề
• Chọn Mức nghiêm trọng phù hợp (xem thang đo ở cuối sheet)
• Màu tự động hiện: Đỏ = Nghiêm trọng, Vàng = Trung bình, Xanh = Thấp</t>
  </si>
  <si>
    <t>9. Tài liệu quan trọng</t>
  </si>
  <si>
    <t>• Lưu link mọi tài liệu dự án theo đúng phân loại
• Cập nhật "Cập nhật lần cuối" mỗi khi sửa tài liệu
• Đây là nơi duy nhất để tìm tài liệu — không để link rải rác ở Discord/Email</t>
  </si>
  <si>
    <t>C. MẸO SỬ DỤNG HIỆU QUẢ</t>
  </si>
  <si>
    <t>Dropdown tự động</t>
  </si>
  <si>
    <t>Nhiều cột đã có sẵn danh sách chọn (Priority, Status, Severity). Nhấn vào ô và chọn từ dropdown — không gõ tay để tránh sai chính tả.</t>
  </si>
  <si>
    <t>Màu sắc tự động</t>
  </si>
  <si>
    <t>Trạng thái sẽ tự đổi màu theo giá trị:
• Xanh lá = Hoàn thành / Thấp
• Vàng = Đang làm / Trung bình
• Đỏ = Bị kẹt / Nghiêm trọng / P0</t>
  </si>
  <si>
    <t>Công thức tự động</t>
  </si>
  <si>
    <t>Một số ô ở sheet Tổng hợp sẽ tự động đếm số lượng từ các sheet khác. KHÔNG sửa các ô có công thức (bắt đầu bằng dấu =).</t>
  </si>
  <si>
    <t>Liên kết giữa các sheet</t>
  </si>
  <si>
    <t>Mã User Story (US-001) xuất hiện ở 4 sheet: Danh sách US, Backlog, Đặc tả, và Theo dõi lỗi. Dùng mã này để tra cứu chéo.</t>
  </si>
  <si>
    <t>Quy trình hàng ngày</t>
  </si>
  <si>
    <t>1. Sáng: Mở file, kiểm tra công việc hôm nay trong Backlog
2. Trong ngày: Cập nhật trạng thái công việc khi thay đổi
3. Chiều: Báo cáo standup dựa trên thông tin trong file
4. Tối: Trưởng nhóm kiểm tra và tổng hợp</t>
  </si>
  <si>
    <t>D. LƯU Ý QUAN TRỌNG</t>
  </si>
  <si>
    <t>Không xóa dòng có sẵn</t>
  </si>
  <si>
    <t>Các dòng đã có mã (US-001, T-001, BUG-001) được giữ sẵn để điền. Chỉ cần điền nội dung, không cần thêm dòng mới trừ khi hết chỗ.</t>
  </si>
  <si>
    <t>Luôn lưu (Ctrl+S)</t>
  </si>
  <si>
    <t>Nếu dùng Google Sheets, dữ liệu tự lưu. Nếu dùng Excel, nhớ lưu thường xuyên.</t>
  </si>
  <si>
    <t>Bảo mật</t>
  </si>
  <si>
    <t>Không chia sẻ file công khai. Chỉ chia sẻ cho thành viên nhóm và mentor.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</si>
</sst>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yyyy\-mm\-dd\ h:mm:ss"/>
  </numFmts>
  <fonts count="22" x14ac:knownFonts="1">
    <font>
      <sz val="11"/>
      <color theme="1"/>
      <name val="Calibri"/>
      <scheme val="minor"/>
    </font>
    <font>
      <b/>
      <sz val="16"/>
      <color rgb="FF1F4E79"/>
      <name val="Arial"/>
    </font>
    <font>
      <sz val="11"/>
      <color rgb="FF595959"/>
      <name val="Arial"/>
    </font>
    <font>
      <b/>
      <sz val="11"/>
      <color rgb="FFFFFFFF"/>
      <name val="Arial"/>
    </font>
    <font>
      <b/>
      <sz val="11"/>
      <color theme="1"/>
      <name val="Arial"/>
    </font>
    <font>
      <sz val="11"/>
      <color theme="1"/>
      <name val="Calibri"/>
    </font>
    <font>
      <sz val="11"/>
      <color rgb="FF000000"/>
      <name val="Arial"/>
    </font>
    <font>
      <i/>
      <sz val="11"/>
      <color rgb="FF000000"/>
      <name val="Arial"/>
    </font>
    <font>
      <b/>
      <sz val="11"/>
      <color rgb="FF1155CC"/>
      <name val="Arial"/>
    </font>
    <font>
      <sz val="11"/>
      <color theme="1"/>
      <name val="Arial"/>
    </font>
    <font>
      <b/>
      <sz val="13"/>
      <color rgb="FF1F4E79"/>
      <name val="Arial"/>
    </font>
    <font>
      <i/>
      <u/>
      <sz val="11"/>
      <color rgb="FF0000FF"/>
      <name val="Arial"/>
    </font>
    <font>
      <u/>
      <sz val="11"/>
      <color rgb="FF0000FF"/>
      <name val="Arial"/>
    </font>
    <font>
      <i/>
      <sz val="11"/>
      <color rgb="FF999999"/>
      <name val="Arial"/>
    </font>
    <font>
      <i/>
      <u/>
      <sz val="11"/>
      <color rgb="FF0000FF"/>
      <name val="Arial"/>
    </font>
    <font>
      <b/>
      <sz val="11"/>
      <color rgb="FFFF0000"/>
      <name val="Arial"/>
    </font>
    <font>
      <b/>
      <sz val="14"/>
      <color rgb="FF1F4E79"/>
      <name val="Arial"/>
    </font>
    <font>
      <sz val="11"/>
      <color theme="1"/>
      <name val="Calibri"/>
    </font>
    <font>
      <b/>
      <sz val="12"/>
      <color rgb="FF1F4E79"/>
      <name val="Arial"/>
    </font>
    <font>
      <b/>
      <sz val="11"/>
      <color rgb="FFFFFFFF"/>
      <name val="Calibri"/>
    </font>
    <font>
      <b/>
      <sz val="11"/>
      <color theme="1"/>
      <name val="Calibri"/>
    </font>
    <font>
      <sz val="11"/>
      <color rgb="FFB4C6E7"/>
      <name val="Calibri"/>
    </font>
  </fonts>
  <fills count="13">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D6E4F0"/>
        <bgColor rgb="FFD6E4F0"/>
      </patternFill>
    </fill>
    <fill>
      <patternFill patternType="solid">
        <fgColor rgb="FFF2F7FB"/>
        <bgColor rgb="FFF2F7FB"/>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0000"/>
        <bgColor rgb="FFFF0000"/>
      </patternFill>
    </fill>
    <fill>
      <patternFill patternType="solid">
        <fgColor rgb="FFFF6600"/>
        <bgColor rgb="FFFF6600"/>
      </patternFill>
    </fill>
    <fill>
      <patternFill patternType="solid">
        <fgColor rgb="FFFFD700"/>
        <bgColor rgb="FFFFD700"/>
      </patternFill>
    </fill>
    <fill>
      <patternFill patternType="solid">
        <fgColor rgb="FF90EE90"/>
        <bgColor rgb="FF90EE90"/>
      </patternFill>
    </fill>
  </fills>
  <borders count="5">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right/>
      <top/>
      <bottom/>
      <diagonal/>
    </border>
  </borders>
  <cellStyleXfs count="1">
    <xf numFmtId="0" fontId="0" fillId="0" borderId="4"/>
  </cellStyleXfs>
  <cellXfs count="58">
    <xf numFmtId="0" fontId="0" fillId="0" borderId="0" xfId="0" applyBorder="1"/>
    <xf numFmtId="0" fontId="3" fillId="2" borderId="1" xfId="0" applyFont="1" applyFill="1" applyBorder="1" applyAlignment="1">
      <alignment horizontal="center" vertical="center" wrapText="1"/>
    </xf>
    <xf numFmtId="0" fontId="4" fillId="3" borderId="1" xfId="0" applyFont="1" applyFill="1" applyBorder="1"/>
    <xf numFmtId="0" fontId="5" fillId="4" borderId="1" xfId="0" applyFont="1" applyFill="1" applyBorder="1"/>
    <xf numFmtId="0" fontId="6" fillId="0" borderId="1" xfId="0" applyFont="1" applyBorder="1" applyAlignment="1">
      <alignment horizontal="center" vertical="center" wrapText="1"/>
    </xf>
    <xf numFmtId="0" fontId="7" fillId="0" borderId="1" xfId="0" applyFont="1" applyBorder="1" applyAlignment="1">
      <alignment vertical="top" wrapText="1"/>
    </xf>
    <xf numFmtId="0" fontId="6" fillId="0" borderId="1" xfId="0" applyFont="1" applyBorder="1" applyAlignment="1">
      <alignment vertical="top" wrapText="1"/>
    </xf>
    <xf numFmtId="0" fontId="10" fillId="0" borderId="0" xfId="0" applyFont="1" applyBorder="1"/>
    <xf numFmtId="0" fontId="9" fillId="0" borderId="1" xfId="0" applyFont="1" applyBorder="1" applyAlignment="1">
      <alignment vertical="top" wrapText="1"/>
    </xf>
    <xf numFmtId="0" fontId="4" fillId="4" borderId="1" xfId="0" applyFont="1" applyFill="1" applyBorder="1"/>
    <xf numFmtId="0" fontId="4" fillId="0" borderId="1" xfId="0" applyFont="1" applyBorder="1" applyAlignment="1">
      <alignment vertical="top" wrapText="1"/>
    </xf>
    <xf numFmtId="0" fontId="5" fillId="0" borderId="1" xfId="0" applyFont="1" applyBorder="1" applyAlignment="1">
      <alignment vertical="top" wrapText="1"/>
    </xf>
    <xf numFmtId="0" fontId="9" fillId="5" borderId="1" xfId="0" applyFont="1" applyFill="1" applyBorder="1" applyAlignment="1">
      <alignment vertical="top" wrapText="1"/>
    </xf>
    <xf numFmtId="0" fontId="4" fillId="5" borderId="1" xfId="0" applyFont="1" applyFill="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15" fillId="0" borderId="1" xfId="0" applyFont="1" applyBorder="1" applyAlignment="1">
      <alignment vertical="top" wrapText="1"/>
    </xf>
    <xf numFmtId="164" fontId="9" fillId="0" borderId="1" xfId="0" applyNumberFormat="1" applyFont="1" applyBorder="1" applyAlignment="1">
      <alignment vertical="top" wrapText="1"/>
    </xf>
    <xf numFmtId="164" fontId="9" fillId="5" borderId="1" xfId="0" applyNumberFormat="1" applyFont="1" applyFill="1" applyBorder="1" applyAlignment="1">
      <alignment vertical="top" wrapText="1"/>
    </xf>
    <xf numFmtId="0" fontId="9" fillId="0" borderId="1" xfId="0" applyFont="1" applyBorder="1" applyAlignment="1">
      <alignment horizontal="center" vertical="center" wrapText="1"/>
    </xf>
    <xf numFmtId="0" fontId="9" fillId="0" borderId="1" xfId="0" applyFont="1" applyBorder="1"/>
    <xf numFmtId="0" fontId="15" fillId="5" borderId="1" xfId="0" applyFont="1" applyFill="1" applyBorder="1" applyAlignment="1">
      <alignment vertical="top" wrapText="1"/>
    </xf>
    <xf numFmtId="0" fontId="9" fillId="0" borderId="0" xfId="0" applyFont="1" applyBorder="1" applyAlignment="1">
      <alignment horizontal="center" vertical="center" wrapText="1"/>
    </xf>
    <xf numFmtId="0" fontId="4" fillId="0" borderId="0" xfId="0" applyFont="1" applyBorder="1"/>
    <xf numFmtId="0" fontId="9" fillId="6" borderId="4" xfId="0" applyFont="1" applyFill="1"/>
    <xf numFmtId="0" fontId="9" fillId="0" borderId="0" xfId="0" applyFont="1" applyBorder="1"/>
    <xf numFmtId="0" fontId="9" fillId="7" borderId="4" xfId="0" applyFont="1" applyFill="1"/>
    <xf numFmtId="0" fontId="9" fillId="8" borderId="4" xfId="0" applyFont="1" applyFill="1"/>
    <xf numFmtId="0" fontId="17" fillId="0" borderId="0" xfId="0" applyFont="1" applyBorder="1"/>
    <xf numFmtId="0" fontId="19" fillId="9" borderId="4" xfId="0" applyFont="1" applyFill="1"/>
    <xf numFmtId="0" fontId="19" fillId="10" borderId="4" xfId="0" applyFont="1" applyFill="1"/>
    <xf numFmtId="0" fontId="20" fillId="11" borderId="4" xfId="0" applyFont="1" applyFill="1"/>
    <xf numFmtId="0" fontId="20" fillId="12" borderId="4" xfId="0" applyFont="1" applyFill="1"/>
    <xf numFmtId="0" fontId="21" fillId="0" borderId="0" xfId="0" applyFont="1" applyBorder="1"/>
    <xf numFmtId="165" fontId="9" fillId="0" borderId="1" xfId="0" applyNumberFormat="1" applyFont="1" applyBorder="1" applyAlignment="1">
      <alignment vertical="top" wrapText="1"/>
    </xf>
    <xf numFmtId="165" fontId="5" fillId="0" borderId="1" xfId="0" applyNumberFormat="1" applyFont="1" applyBorder="1" applyAlignment="1">
      <alignment vertical="top" wrapText="1"/>
    </xf>
    <xf numFmtId="165" fontId="9" fillId="5" borderId="1" xfId="0" applyNumberFormat="1" applyFont="1" applyFill="1" applyBorder="1" applyAlignment="1">
      <alignment vertical="top" wrapText="1"/>
    </xf>
    <xf numFmtId="0" fontId="7" fillId="0" borderId="1" xfId="0" applyFont="1" applyBorder="1" applyAlignment="1">
      <alignment horizontal="left"/>
    </xf>
    <xf numFmtId="0" fontId="0" fillId="0" borderId="2" xfId="0" applyBorder="1"/>
    <xf numFmtId="0" fontId="0" fillId="0" borderId="3" xfId="0" applyBorder="1"/>
    <xf numFmtId="0" fontId="7" fillId="0" borderId="1" xfId="0" applyFont="1" applyBorder="1" applyAlignment="1">
      <alignment horizontal="left" vertical="top" wrapText="1"/>
    </xf>
    <xf numFmtId="0" fontId="9" fillId="0" borderId="1" xfId="0" applyFont="1" applyBorder="1"/>
    <xf numFmtId="0" fontId="13" fillId="0" borderId="1" xfId="0" applyFont="1" applyBorder="1" applyAlignment="1">
      <alignment horizontal="left" vertical="top" wrapText="1"/>
    </xf>
    <xf numFmtId="0" fontId="16" fillId="0" borderId="4" xfId="0" applyFont="1"/>
    <xf numFmtId="0" fontId="0" fillId="0" borderId="0" xfId="0" applyBorder="1"/>
    <xf numFmtId="0" fontId="2" fillId="0" borderId="4" xfId="0" applyFont="1"/>
    <xf numFmtId="164" fontId="7" fillId="0" borderId="1" xfId="0" applyNumberFormat="1" applyFont="1" applyBorder="1" applyAlignment="1">
      <alignment horizontal="left"/>
    </xf>
    <xf numFmtId="0" fontId="13" fillId="0" borderId="1" xfId="0" applyFont="1" applyBorder="1" applyAlignment="1">
      <alignment horizontal="left"/>
    </xf>
    <xf numFmtId="0" fontId="1" fillId="0" borderId="4" xfId="0" applyFont="1"/>
    <xf numFmtId="0" fontId="14" fillId="0" borderId="1" xfId="0" applyFont="1" applyBorder="1" applyAlignment="1">
      <alignment horizontal="left"/>
    </xf>
    <xf numFmtId="0" fontId="4" fillId="4" borderId="1" xfId="0" applyFont="1" applyFill="1" applyBorder="1"/>
    <xf numFmtId="0" fontId="10" fillId="0" borderId="4" xfId="0" applyFont="1"/>
    <xf numFmtId="0" fontId="8" fillId="5" borderId="1" xfId="0" applyFont="1" applyFill="1" applyBorder="1" applyAlignment="1">
      <alignment vertical="center" wrapText="1"/>
    </xf>
    <xf numFmtId="0" fontId="13" fillId="0" borderId="1" xfId="0" applyFont="1" applyBorder="1" applyAlignment="1">
      <alignment vertical="top" wrapText="1"/>
    </xf>
    <xf numFmtId="0" fontId="10" fillId="4" borderId="1" xfId="0" applyFont="1" applyFill="1" applyBorder="1"/>
    <xf numFmtId="0" fontId="18" fillId="4" borderId="1" xfId="0" applyFont="1" applyFill="1" applyBorder="1" applyAlignment="1">
      <alignment vertical="top" wrapText="1"/>
    </xf>
    <xf numFmtId="0" fontId="9" fillId="0" borderId="1" xfId="0" applyFont="1" applyBorder="1" applyAlignment="1">
      <alignment vertical="top" wrapText="1"/>
    </xf>
  </cellXfs>
  <cellStyles count="1">
    <cellStyle name="Normal" xfId="0" builtinId="0"/>
  </cellStyles>
  <dxfs count="31">
    <dxf>
      <fill>
        <patternFill patternType="solid">
          <fgColor rgb="FFE0E0E0"/>
          <bgColor rgb="FFE0E0E0"/>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FFC000"/>
          <bgColor rgb="FFFFC000"/>
        </patternFill>
      </fill>
    </dxf>
    <dxf>
      <font>
        <color rgb="FF9C0006"/>
      </font>
      <fill>
        <patternFill patternType="solid">
          <fgColor rgb="FFFFC7CE"/>
          <bgColor rgb="FFFFC7CE"/>
        </patternFill>
      </fill>
    </dxf>
    <dxf>
      <fill>
        <patternFill patternType="solid">
          <fgColor rgb="FFE0E0E0"/>
          <bgColor rgb="FFE0E0E0"/>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E0E0E0"/>
          <bgColor rgb="FFE0E0E0"/>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rgb="FFE0E0E0"/>
          <bgColor rgb="FFE0E0E0"/>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E0E0E0"/>
          <bgColor rgb="FFE0E0E0"/>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ithub.com/mchienn/DocGradin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figma.com/design/VNMmj3UUihw1Wp1duygxZl/Follow-Markdown-Guide" TargetMode="External"/><Relationship Id="rId1" Type="http://schemas.openxmlformats.org/officeDocument/2006/relationships/hyperlink" Target="https://github.com/mchienn/DocGrad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saCCZKELRVZrCT2zSl4PMKvQOZE5bRZuuLqx2k6ct3M/edit?gid=0"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github.com/mchienn/DocGrading" TargetMode="External"/><Relationship Id="rId1" Type="http://schemas.openxmlformats.org/officeDocument/2006/relationships/hyperlink" Target="https://www.figma.com/design/VNMmj3UUihw1Wp1duygxZl/Follow-Markdown-Gui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H1000"/>
  <sheetViews>
    <sheetView tabSelected="1" workbookViewId="0">
      <pane ySplit="3" topLeftCell="A4" activePane="bottomLeft" state="frozen"/>
      <selection pane="bottomLeft" activeCell="B5" sqref="B5:D5"/>
    </sheetView>
  </sheetViews>
  <sheetFormatPr defaultColWidth="14.44140625" defaultRowHeight="15" customHeight="1" x14ac:dyDescent="0.3"/>
  <cols>
    <col min="1" max="1" width="32" customWidth="1"/>
    <col min="2" max="3" width="22" customWidth="1"/>
    <col min="4" max="4" width="18.5546875" customWidth="1"/>
    <col min="5" max="5" width="16" customWidth="1"/>
    <col min="6" max="7" width="14" customWidth="1"/>
    <col min="8" max="8" width="16" customWidth="1"/>
  </cols>
  <sheetData>
    <row r="1" spans="1:8" ht="21" customHeight="1" x14ac:dyDescent="0.4">
      <c r="A1" s="49" t="s">
        <v>0</v>
      </c>
      <c r="B1" s="45"/>
      <c r="C1" s="45"/>
      <c r="D1" s="45"/>
      <c r="E1" s="45"/>
      <c r="F1" s="45"/>
      <c r="G1" s="45"/>
      <c r="H1" s="45"/>
    </row>
    <row r="2" spans="1:8" ht="14.4" customHeight="1" x14ac:dyDescent="0.3">
      <c r="A2" s="46" t="s">
        <v>1</v>
      </c>
      <c r="B2" s="45"/>
      <c r="C2" s="45"/>
      <c r="D2" s="45"/>
      <c r="E2" s="45"/>
      <c r="F2" s="45"/>
      <c r="G2" s="45"/>
      <c r="H2" s="45"/>
    </row>
    <row r="3" spans="1:8" ht="14.4" customHeight="1" x14ac:dyDescent="0.3">
      <c r="A3" s="2" t="s">
        <v>2</v>
      </c>
      <c r="B3" s="42" t="s">
        <v>3</v>
      </c>
      <c r="C3" s="39"/>
      <c r="D3" s="40"/>
    </row>
    <row r="5" spans="1:8" ht="24" customHeight="1" x14ac:dyDescent="0.3">
      <c r="A5" s="9" t="s">
        <v>4</v>
      </c>
      <c r="B5" s="38" t="s">
        <v>5</v>
      </c>
      <c r="C5" s="39"/>
      <c r="D5" s="40"/>
    </row>
    <row r="6" spans="1:8" ht="24" customHeight="1" x14ac:dyDescent="0.3">
      <c r="A6" s="9" t="s">
        <v>6</v>
      </c>
      <c r="B6" s="38" t="s">
        <v>7</v>
      </c>
      <c r="C6" s="39"/>
      <c r="D6" s="40"/>
    </row>
    <row r="7" spans="1:8" ht="24" customHeight="1" x14ac:dyDescent="0.3">
      <c r="A7" s="9" t="s">
        <v>8</v>
      </c>
      <c r="B7" s="47">
        <v>46255</v>
      </c>
      <c r="C7" s="39"/>
      <c r="D7" s="40"/>
    </row>
    <row r="8" spans="1:8" ht="24" customHeight="1" x14ac:dyDescent="0.3">
      <c r="A8" s="9" t="s">
        <v>9</v>
      </c>
      <c r="B8" s="47">
        <v>46282</v>
      </c>
      <c r="C8" s="39"/>
      <c r="D8" s="40"/>
    </row>
    <row r="9" spans="1:8" ht="24" customHeight="1" x14ac:dyDescent="0.3">
      <c r="A9" s="9" t="s">
        <v>10</v>
      </c>
      <c r="B9" s="38"/>
      <c r="C9" s="39"/>
      <c r="D9" s="40"/>
    </row>
    <row r="10" spans="1:8" ht="24" customHeight="1" x14ac:dyDescent="0.3">
      <c r="A10" s="9" t="s">
        <v>11</v>
      </c>
      <c r="B10" s="38"/>
      <c r="C10" s="39"/>
      <c r="D10" s="40"/>
    </row>
    <row r="11" spans="1:8" ht="31.95" customHeight="1" x14ac:dyDescent="0.3">
      <c r="A11" s="9" t="s">
        <v>12</v>
      </c>
      <c r="B11" s="41" t="s">
        <v>13</v>
      </c>
      <c r="C11" s="39"/>
      <c r="D11" s="40"/>
    </row>
    <row r="12" spans="1:8" ht="24" customHeight="1" x14ac:dyDescent="0.3">
      <c r="A12" s="9" t="s">
        <v>14</v>
      </c>
      <c r="B12" s="50" t="s">
        <v>15</v>
      </c>
      <c r="C12" s="39"/>
      <c r="D12" s="40"/>
    </row>
    <row r="13" spans="1:8" ht="24" customHeight="1" x14ac:dyDescent="0.3">
      <c r="A13" s="9" t="s">
        <v>16</v>
      </c>
      <c r="B13" s="48"/>
      <c r="C13" s="39"/>
      <c r="D13" s="40"/>
    </row>
    <row r="14" spans="1:8" ht="48" customHeight="1" x14ac:dyDescent="0.3">
      <c r="A14" s="9" t="s">
        <v>17</v>
      </c>
      <c r="B14" s="43" t="s">
        <v>18</v>
      </c>
      <c r="C14" s="39"/>
      <c r="D14" s="40"/>
    </row>
    <row r="16" spans="1:8" ht="17.399999999999999" customHeight="1" x14ac:dyDescent="0.3">
      <c r="A16" s="44" t="s">
        <v>19</v>
      </c>
      <c r="B16" s="45"/>
      <c r="C16" s="45"/>
      <c r="D16" s="45"/>
      <c r="E16" s="45"/>
      <c r="F16" s="45"/>
      <c r="G16" s="45"/>
      <c r="H16" s="45"/>
    </row>
    <row r="18" spans="1:8" ht="14.4" customHeight="1" x14ac:dyDescent="0.3">
      <c r="A18" s="1" t="s">
        <v>20</v>
      </c>
      <c r="B18" s="1" t="s">
        <v>21</v>
      </c>
      <c r="C18" s="1" t="s">
        <v>22</v>
      </c>
      <c r="D18" s="1" t="s">
        <v>23</v>
      </c>
      <c r="E18" s="1" t="s">
        <v>24</v>
      </c>
      <c r="F18" s="1" t="s">
        <v>25</v>
      </c>
      <c r="G18" s="1" t="s">
        <v>26</v>
      </c>
      <c r="H18" s="1" t="s">
        <v>27</v>
      </c>
    </row>
    <row r="19" spans="1:8" ht="30" customHeight="1" x14ac:dyDescent="0.3">
      <c r="A19" s="8" t="s">
        <v>28</v>
      </c>
      <c r="B19" s="8" t="s">
        <v>29</v>
      </c>
      <c r="C19" s="18">
        <v>46255</v>
      </c>
      <c r="D19" s="18">
        <v>46261</v>
      </c>
      <c r="E19" s="8">
        <f>COUNTIF(Backlog!$F$6:$F$33,A19)</f>
        <v>5</v>
      </c>
      <c r="F19" s="8">
        <f>COUNTIFS(Backlog!$F$6:$F$33,A19,Backlog!$K$6:$K$33,"Hoàn thành")</f>
        <v>3</v>
      </c>
      <c r="G19" s="8">
        <f>COUNTIFS(Backlog!$F$6:$F$33,A19,Backlog!$K$6:$K$33,"Đang làm")+COUNTIFS(Backlog!$F$6:$F$33,A19,Backlog!$K$6:$K$33,"Đang review")+COUNTIFS(Backlog!$F$6:$F$33,A19,Backlog!$K$6:$K$33,"Kiểm thử")</f>
        <v>1</v>
      </c>
      <c r="H19" s="8" t="s">
        <v>26</v>
      </c>
    </row>
    <row r="20" spans="1:8" ht="30" customHeight="1" x14ac:dyDescent="0.3">
      <c r="A20" s="12" t="s">
        <v>30</v>
      </c>
      <c r="B20" s="12" t="s">
        <v>31</v>
      </c>
      <c r="C20" s="19">
        <v>46262</v>
      </c>
      <c r="D20" s="19">
        <v>46268</v>
      </c>
      <c r="E20" s="12">
        <f>COUNTIF(Backlog!$F$6:$F$33,A20)</f>
        <v>4</v>
      </c>
      <c r="F20" s="12">
        <f>COUNTIFS(Backlog!$F$6:$F$33,A20,Backlog!$K$6:$K$33,"Hoàn thành")</f>
        <v>0</v>
      </c>
      <c r="G20" s="12">
        <f>COUNTIFS(Backlog!$F$6:$F$33,A20,Backlog!$K$6:$K$33,"Đang làm")+COUNTIFS(Backlog!$F$6:$F$33,A20,Backlog!$K$6:$K$33,"Đang review")+COUNTIFS(Backlog!$F$6:$F$33,A20,Backlog!$K$6:$K$33,"Kiểm thử")</f>
        <v>0</v>
      </c>
      <c r="H20" s="12" t="s">
        <v>32</v>
      </c>
    </row>
    <row r="21" spans="1:8" ht="30" customHeight="1" x14ac:dyDescent="0.3">
      <c r="A21" s="8" t="s">
        <v>33</v>
      </c>
      <c r="B21" s="8" t="s">
        <v>34</v>
      </c>
      <c r="C21" s="18">
        <v>46269</v>
      </c>
      <c r="D21" s="18">
        <v>46275</v>
      </c>
      <c r="E21" s="8">
        <f>COUNTIF(Backlog!$F$6:$F$33,A21)</f>
        <v>3</v>
      </c>
      <c r="F21" s="8">
        <f>COUNTIFS(Backlog!$F$6:$F$33,A21,Backlog!$K$6:$K$33,"Hoàn thành")</f>
        <v>0</v>
      </c>
      <c r="G21" s="8">
        <f>COUNTIFS(Backlog!$F$6:$F$33,A21,Backlog!$K$6:$K$33,"Đang làm")+COUNTIFS(Backlog!$F$6:$F$33,A21,Backlog!$K$6:$K$33,"Đang review")+COUNTIFS(Backlog!$F$6:$F$33,A21,Backlog!$K$6:$K$33,"Kiểm thử")</f>
        <v>0</v>
      </c>
      <c r="H21" s="8" t="s">
        <v>32</v>
      </c>
    </row>
    <row r="22" spans="1:8" ht="30" customHeight="1" x14ac:dyDescent="0.3">
      <c r="A22" s="12" t="s">
        <v>35</v>
      </c>
      <c r="B22" s="12" t="s">
        <v>36</v>
      </c>
      <c r="C22" s="19">
        <v>46276</v>
      </c>
      <c r="D22" s="19">
        <v>46282</v>
      </c>
      <c r="E22" s="12">
        <f>COUNTIF(Backlog!$F$6:$F$33,A22)</f>
        <v>12</v>
      </c>
      <c r="F22" s="12">
        <f>COUNTIFS(Backlog!$F$6:$F$33,A22,Backlog!$K$6:$K$33,"Hoàn thành")</f>
        <v>0</v>
      </c>
      <c r="G22" s="12">
        <f>COUNTIFS(Backlog!$F$6:$F$33,A22,Backlog!$K$6:$K$33,"Đang làm")+COUNTIFS(Backlog!$F$6:$F$33,A22,Backlog!$K$6:$K$33,"Đang review")+COUNTIFS(Backlog!$F$6:$F$33,A22,Backlog!$K$6:$K$33,"Kiểm thử")</f>
        <v>0</v>
      </c>
      <c r="H22" s="12" t="s">
        <v>32</v>
      </c>
    </row>
    <row r="23" spans="1:8" ht="15.75" customHeight="1" x14ac:dyDescent="0.3"/>
    <row r="24" spans="1:8" ht="15.75" customHeight="1" x14ac:dyDescent="0.3">
      <c r="A24" s="44" t="s">
        <v>37</v>
      </c>
      <c r="B24" s="45"/>
      <c r="C24" s="45"/>
      <c r="D24" s="45"/>
      <c r="E24" s="45"/>
      <c r="F24" s="45"/>
      <c r="G24" s="45"/>
      <c r="H24" s="45"/>
    </row>
    <row r="25" spans="1:8" ht="15.75" customHeight="1" x14ac:dyDescent="0.3"/>
    <row r="26" spans="1:8" ht="15.75" customHeight="1" x14ac:dyDescent="0.3">
      <c r="A26" s="9" t="s">
        <v>38</v>
      </c>
      <c r="B26" s="20">
        <f>COUNTIF('Danh sách User Story'!A6:A100,"US*")</f>
        <v>41</v>
      </c>
      <c r="C26" s="21" t="s">
        <v>39</v>
      </c>
    </row>
    <row r="27" spans="1:8" ht="15.75" customHeight="1" x14ac:dyDescent="0.3">
      <c r="A27" s="9" t="s">
        <v>40</v>
      </c>
      <c r="B27" s="20" t="str">
        <f>COUNTIF('Danh sách User Story'!H6:H100,"Hoàn thành") &amp; " / " &amp; COUNTIF('Danh sách User Story'!A6:A100,"US*")</f>
        <v>0 / 41</v>
      </c>
      <c r="C27" s="21"/>
    </row>
    <row r="28" spans="1:8" ht="15.75" customHeight="1" x14ac:dyDescent="0.3">
      <c r="A28" s="9" t="s">
        <v>41</v>
      </c>
      <c r="B28" s="20">
        <f>COUNTIF('Theo dõi lỗi'!K5:K38,"Mở")</f>
        <v>0</v>
      </c>
      <c r="C28" s="21" t="s">
        <v>42</v>
      </c>
    </row>
    <row r="29" spans="1:8" ht="15.75" customHeight="1" x14ac:dyDescent="0.3">
      <c r="A29" s="9" t="s">
        <v>43</v>
      </c>
      <c r="B29" s="20"/>
      <c r="C29" s="21" t="s">
        <v>44</v>
      </c>
    </row>
    <row r="30" spans="1:8" ht="15.75" customHeight="1" x14ac:dyDescent="0.3">
      <c r="A30" s="9" t="s">
        <v>45</v>
      </c>
      <c r="B30" s="20"/>
      <c r="C30" s="21" t="s">
        <v>46</v>
      </c>
    </row>
    <row r="31" spans="1:8" ht="15.75" customHeight="1" x14ac:dyDescent="0.3">
      <c r="A31" s="9" t="s">
        <v>47</v>
      </c>
      <c r="B31" s="20" t="s">
        <v>48</v>
      </c>
      <c r="C31" s="21"/>
    </row>
    <row r="32" spans="1:8"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5">
    <mergeCell ref="A1:H1"/>
    <mergeCell ref="B12:D12"/>
    <mergeCell ref="B7:D7"/>
    <mergeCell ref="B6:D6"/>
    <mergeCell ref="A24:H24"/>
    <mergeCell ref="A16:H16"/>
    <mergeCell ref="A2:H2"/>
    <mergeCell ref="B8:D8"/>
    <mergeCell ref="B9:D9"/>
    <mergeCell ref="B13:D13"/>
    <mergeCell ref="B10:D10"/>
    <mergeCell ref="B11:D11"/>
    <mergeCell ref="B3:D3"/>
    <mergeCell ref="B5:D5"/>
    <mergeCell ref="B14:D14"/>
  </mergeCells>
  <conditionalFormatting sqref="B3">
    <cfRule type="cellIs" dxfId="30" priority="1" operator="equal">
      <formula>"Đúng tiến độ"</formula>
    </cfRule>
    <cfRule type="cellIs" dxfId="29" priority="2" operator="equal">
      <formula>"Có rủi ro"</formula>
    </cfRule>
    <cfRule type="cellIs" dxfId="28" priority="3" operator="equal">
      <formula>"Bị kẹt"</formula>
    </cfRule>
  </conditionalFormatting>
  <conditionalFormatting sqref="H19:H22">
    <cfRule type="cellIs" dxfId="27" priority="4" operator="equal">
      <formula>"Hoàn thành"</formula>
    </cfRule>
    <cfRule type="cellIs" dxfId="26" priority="5" operator="equal">
      <formula>"Đang làm"</formula>
    </cfRule>
    <cfRule type="cellIs" dxfId="25" priority="6" operator="equal">
      <formula>"Bị kẹt"</formula>
    </cfRule>
    <cfRule type="cellIs" dxfId="24" priority="7" operator="equal">
      <formula>"Chưa bắt đầu"</formula>
    </cfRule>
  </conditionalFormatting>
  <dataValidations count="2">
    <dataValidation type="list" allowBlank="1" sqref="H19:H22" xr:uid="{00000000-0002-0000-0000-000000000000}">
      <formula1>"Chưa bắt đầu,Đang làm,Hoàn thành,Bị kẹt"</formula1>
    </dataValidation>
    <dataValidation type="list" allowBlank="1" sqref="B3" xr:uid="{00000000-0002-0000-0000-000001000000}">
      <formula1>"Đúng tiến độ,Có rủi ro,Bị kẹt"</formula1>
    </dataValidation>
  </dataValidations>
  <hyperlinks>
    <hyperlink ref="B12" r:id="rId1" xr:uid="{00000000-0004-0000-0000-000000000000}"/>
  </hyperlinks>
  <pageMargins left="0.75" right="0.75" top="1" bottom="1" header="0" footer="0"/>
  <pageSetup orientation="landscape"/>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F1000"/>
  <sheetViews>
    <sheetView workbookViewId="0">
      <pane ySplit="4" topLeftCell="A5" activePane="bottomLeft" state="frozen"/>
      <selection pane="bottomLeft" activeCell="B6" sqref="B6"/>
    </sheetView>
  </sheetViews>
  <sheetFormatPr defaultColWidth="14.44140625" defaultRowHeight="15" customHeight="1" x14ac:dyDescent="0.3"/>
  <cols>
    <col min="1" max="1" width="6" customWidth="1"/>
    <col min="2" max="2" width="24" customWidth="1"/>
    <col min="3" max="3" width="32" customWidth="1"/>
    <col min="4" max="4" width="40" customWidth="1"/>
    <col min="5" max="6" width="22" customWidth="1"/>
  </cols>
  <sheetData>
    <row r="1" spans="1:6" ht="21" customHeight="1" x14ac:dyDescent="0.4">
      <c r="A1" s="49" t="s">
        <v>49</v>
      </c>
      <c r="B1" s="45"/>
      <c r="C1" s="45"/>
      <c r="D1" s="45"/>
      <c r="E1" s="45"/>
      <c r="F1" s="45"/>
    </row>
    <row r="2" spans="1:6" ht="14.4" customHeight="1" x14ac:dyDescent="0.3">
      <c r="A2" s="46" t="s">
        <v>50</v>
      </c>
      <c r="B2" s="45"/>
      <c r="C2" s="45"/>
      <c r="D2" s="45"/>
      <c r="E2" s="45"/>
      <c r="F2" s="45"/>
    </row>
    <row r="4" spans="1:6" ht="14.4" customHeight="1" x14ac:dyDescent="0.3">
      <c r="A4" s="1" t="s">
        <v>51</v>
      </c>
      <c r="B4" s="1" t="s">
        <v>52</v>
      </c>
      <c r="C4" s="1" t="s">
        <v>53</v>
      </c>
      <c r="D4" s="1" t="s">
        <v>54</v>
      </c>
      <c r="E4" s="1" t="s">
        <v>55</v>
      </c>
      <c r="F4" s="1" t="s">
        <v>56</v>
      </c>
    </row>
    <row r="5" spans="1:6" ht="14.4" customHeight="1" x14ac:dyDescent="0.3">
      <c r="A5" s="3"/>
      <c r="B5" s="51" t="s">
        <v>57</v>
      </c>
      <c r="C5" s="39"/>
      <c r="D5" s="39"/>
      <c r="E5" s="39"/>
      <c r="F5" s="40"/>
    </row>
    <row r="6" spans="1:6" ht="31.95" customHeight="1" x14ac:dyDescent="0.3">
      <c r="A6" s="8">
        <v>1</v>
      </c>
      <c r="B6" s="11"/>
      <c r="C6" s="8" t="s">
        <v>58</v>
      </c>
      <c r="D6" s="14" t="s">
        <v>15</v>
      </c>
      <c r="E6" s="5" t="s">
        <v>59</v>
      </c>
      <c r="F6" s="8" t="s">
        <v>60</v>
      </c>
    </row>
    <row r="7" spans="1:6" ht="14.4" customHeight="1" x14ac:dyDescent="0.3">
      <c r="A7" s="8">
        <v>2</v>
      </c>
      <c r="B7" s="11"/>
      <c r="C7" s="8" t="s">
        <v>61</v>
      </c>
      <c r="D7" s="16"/>
      <c r="E7" s="16"/>
      <c r="F7" s="8"/>
    </row>
    <row r="8" spans="1:6" ht="14.4" customHeight="1" x14ac:dyDescent="0.3">
      <c r="A8" s="8">
        <v>3</v>
      </c>
      <c r="B8" s="11"/>
      <c r="C8" s="8" t="s">
        <v>62</v>
      </c>
      <c r="D8" s="16"/>
      <c r="E8" s="16"/>
      <c r="F8" s="8"/>
    </row>
    <row r="9" spans="1:6" ht="27.6" customHeight="1" x14ac:dyDescent="0.3">
      <c r="A9" s="8">
        <v>4</v>
      </c>
      <c r="B9" s="11"/>
      <c r="C9" s="8" t="s">
        <v>63</v>
      </c>
      <c r="D9" s="16"/>
      <c r="E9" s="16"/>
      <c r="F9" s="8" t="s">
        <v>64</v>
      </c>
    </row>
    <row r="10" spans="1:6" ht="27.6" customHeight="1" x14ac:dyDescent="0.3">
      <c r="A10" s="8">
        <v>5</v>
      </c>
      <c r="B10" s="11"/>
      <c r="C10" s="8" t="s">
        <v>65</v>
      </c>
      <c r="D10" s="16"/>
      <c r="E10" s="16"/>
      <c r="F10" s="8" t="s">
        <v>66</v>
      </c>
    </row>
    <row r="11" spans="1:6" ht="14.4" customHeight="1" x14ac:dyDescent="0.3">
      <c r="A11" s="3"/>
      <c r="B11" s="51" t="s">
        <v>67</v>
      </c>
      <c r="C11" s="39"/>
      <c r="D11" s="39"/>
      <c r="E11" s="39"/>
      <c r="F11" s="40"/>
    </row>
    <row r="12" spans="1:6" ht="31.95" customHeight="1" x14ac:dyDescent="0.3">
      <c r="A12" s="8">
        <v>6</v>
      </c>
      <c r="B12" s="11"/>
      <c r="C12" s="8" t="s">
        <v>68</v>
      </c>
      <c r="D12" s="16" t="s">
        <v>69</v>
      </c>
      <c r="E12" s="16" t="s">
        <v>70</v>
      </c>
      <c r="F12" s="8" t="s">
        <v>71</v>
      </c>
    </row>
    <row r="13" spans="1:6" ht="31.95" customHeight="1" x14ac:dyDescent="0.3">
      <c r="A13" s="8">
        <v>7</v>
      </c>
      <c r="B13" s="11"/>
      <c r="C13" s="8" t="s">
        <v>72</v>
      </c>
      <c r="D13" s="16" t="s">
        <v>73</v>
      </c>
      <c r="E13" s="16" t="s">
        <v>74</v>
      </c>
      <c r="F13" s="8" t="s">
        <v>75</v>
      </c>
    </row>
    <row r="14" spans="1:6" ht="31.95" customHeight="1" x14ac:dyDescent="0.3">
      <c r="A14" s="8">
        <v>8</v>
      </c>
      <c r="B14" s="11"/>
      <c r="C14" s="8" t="s">
        <v>76</v>
      </c>
      <c r="D14" s="16" t="s">
        <v>77</v>
      </c>
      <c r="E14" s="16" t="s">
        <v>78</v>
      </c>
      <c r="F14" s="8" t="s">
        <v>79</v>
      </c>
    </row>
    <row r="15" spans="1:6" ht="31.95" customHeight="1" x14ac:dyDescent="0.3">
      <c r="A15" s="8">
        <v>9</v>
      </c>
      <c r="B15" s="11"/>
      <c r="C15" s="8" t="s">
        <v>80</v>
      </c>
      <c r="D15" s="16" t="s">
        <v>81</v>
      </c>
      <c r="E15" s="16" t="s">
        <v>59</v>
      </c>
      <c r="F15" s="8" t="s">
        <v>82</v>
      </c>
    </row>
    <row r="16" spans="1:6" ht="14.4" customHeight="1" x14ac:dyDescent="0.3">
      <c r="A16" s="3"/>
      <c r="B16" s="51" t="s">
        <v>83</v>
      </c>
      <c r="C16" s="39"/>
      <c r="D16" s="39"/>
      <c r="E16" s="39"/>
      <c r="F16" s="40"/>
    </row>
    <row r="17" spans="1:6" ht="14.4" customHeight="1" x14ac:dyDescent="0.3">
      <c r="A17" s="8">
        <v>10</v>
      </c>
      <c r="B17" s="11"/>
      <c r="C17" s="8" t="s">
        <v>84</v>
      </c>
      <c r="D17" s="16"/>
      <c r="E17" s="16"/>
      <c r="F17" s="8"/>
    </row>
    <row r="18" spans="1:6" ht="27.6" customHeight="1" x14ac:dyDescent="0.3">
      <c r="A18" s="8">
        <v>11</v>
      </c>
      <c r="B18" s="11"/>
      <c r="C18" s="8" t="s">
        <v>85</v>
      </c>
      <c r="D18" s="16"/>
      <c r="E18" s="16"/>
      <c r="F18" s="8"/>
    </row>
    <row r="19" spans="1:6" ht="14.4" customHeight="1" x14ac:dyDescent="0.3">
      <c r="A19" s="8">
        <v>12</v>
      </c>
      <c r="B19" s="11"/>
      <c r="C19" s="8" t="s">
        <v>86</v>
      </c>
      <c r="D19" s="16"/>
      <c r="E19" s="16"/>
      <c r="F19" s="8"/>
    </row>
    <row r="20" spans="1:6" ht="14.4" customHeight="1" x14ac:dyDescent="0.3">
      <c r="A20" s="3"/>
      <c r="B20" s="51" t="s">
        <v>87</v>
      </c>
      <c r="C20" s="39"/>
      <c r="D20" s="39"/>
      <c r="E20" s="39"/>
      <c r="F20" s="40"/>
    </row>
    <row r="21" spans="1:6" ht="15.75" customHeight="1" x14ac:dyDescent="0.3">
      <c r="A21" s="8">
        <v>13</v>
      </c>
      <c r="B21" s="11"/>
      <c r="C21" s="8" t="s">
        <v>88</v>
      </c>
      <c r="D21" s="16"/>
      <c r="E21" s="16"/>
      <c r="F21" s="8" t="s">
        <v>89</v>
      </c>
    </row>
    <row r="22" spans="1:6" ht="15.75" customHeight="1" x14ac:dyDescent="0.3">
      <c r="A22" s="8">
        <v>14</v>
      </c>
      <c r="B22" s="11"/>
      <c r="C22" s="8" t="s">
        <v>90</v>
      </c>
      <c r="D22" s="16"/>
      <c r="E22" s="16"/>
      <c r="F22" s="8"/>
    </row>
    <row r="23" spans="1:6" ht="15.75" customHeight="1" x14ac:dyDescent="0.3">
      <c r="A23" s="8">
        <v>15</v>
      </c>
      <c r="B23" s="11"/>
      <c r="C23" s="11"/>
      <c r="D23" s="11"/>
      <c r="E23" s="11"/>
      <c r="F23" s="11"/>
    </row>
    <row r="24" spans="1:6" ht="15.75" customHeight="1" x14ac:dyDescent="0.3">
      <c r="A24" s="8">
        <v>16</v>
      </c>
      <c r="B24" s="11"/>
      <c r="C24" s="11"/>
      <c r="D24" s="11"/>
      <c r="E24" s="11"/>
      <c r="F24" s="11"/>
    </row>
    <row r="25" spans="1:6" ht="15.75" customHeight="1" x14ac:dyDescent="0.3">
      <c r="A25" s="8">
        <v>17</v>
      </c>
      <c r="B25" s="11"/>
      <c r="C25" s="11"/>
      <c r="D25" s="11"/>
      <c r="E25" s="11"/>
      <c r="F25" s="11"/>
    </row>
    <row r="26" spans="1:6" ht="15.75" customHeight="1" x14ac:dyDescent="0.3"/>
    <row r="27" spans="1:6" ht="15.75" customHeight="1" x14ac:dyDescent="0.3"/>
    <row r="28" spans="1:6" ht="15.75" customHeight="1" x14ac:dyDescent="0.3"/>
    <row r="29" spans="1:6" ht="15.75" customHeight="1" x14ac:dyDescent="0.3"/>
    <row r="30" spans="1:6" ht="15.75" customHeight="1" x14ac:dyDescent="0.3"/>
    <row r="31" spans="1:6" ht="15.75" customHeight="1" x14ac:dyDescent="0.3"/>
    <row r="32" spans="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
    <mergeCell ref="A2:F2"/>
    <mergeCell ref="B16:F16"/>
    <mergeCell ref="B20:F20"/>
    <mergeCell ref="A1:F1"/>
    <mergeCell ref="B11:F11"/>
    <mergeCell ref="B5:F5"/>
  </mergeCells>
  <hyperlinks>
    <hyperlink ref="D6" r:id="rId1" xr:uid="{00000000-0004-0000-0100-000000000000}"/>
    <hyperlink ref="D13" r:id="rId2" xr:uid="{00000000-0004-0000-0100-000001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I1000"/>
  <sheetViews>
    <sheetView workbookViewId="0">
      <pane ySplit="4" topLeftCell="A5" activePane="bottomLeft" state="frozen"/>
      <selection pane="bottomLeft" activeCell="B6" sqref="B6"/>
    </sheetView>
  </sheetViews>
  <sheetFormatPr defaultColWidth="14.44140625" defaultRowHeight="15" customHeight="1" x14ac:dyDescent="0.3"/>
  <cols>
    <col min="1" max="1" width="6" customWidth="1"/>
    <col min="2" max="3" width="24" customWidth="1"/>
    <col min="4" max="4" width="18" customWidth="1"/>
    <col min="5" max="5" width="28" customWidth="1"/>
    <col min="6" max="6" width="15" customWidth="1"/>
    <col min="7" max="8" width="18" customWidth="1"/>
    <col min="9" max="9" width="22" customWidth="1"/>
  </cols>
  <sheetData>
    <row r="1" spans="1:9" ht="21" customHeight="1" x14ac:dyDescent="0.4">
      <c r="A1" s="49" t="s">
        <v>91</v>
      </c>
      <c r="B1" s="45"/>
      <c r="C1" s="45"/>
      <c r="D1" s="45"/>
      <c r="E1" s="45"/>
      <c r="F1" s="45"/>
      <c r="G1" s="45"/>
      <c r="H1" s="45"/>
      <c r="I1" s="45"/>
    </row>
    <row r="2" spans="1:9" ht="14.4" customHeight="1" x14ac:dyDescent="0.3">
      <c r="A2" s="46" t="s">
        <v>92</v>
      </c>
      <c r="B2" s="45"/>
      <c r="C2" s="45"/>
      <c r="D2" s="45"/>
      <c r="E2" s="45"/>
      <c r="F2" s="45"/>
      <c r="G2" s="45"/>
      <c r="H2" s="45"/>
      <c r="I2" s="45"/>
    </row>
    <row r="4" spans="1:9" ht="27.6" customHeight="1" x14ac:dyDescent="0.3">
      <c r="A4" s="1" t="s">
        <v>51</v>
      </c>
      <c r="B4" s="1" t="s">
        <v>93</v>
      </c>
      <c r="C4" s="1" t="s">
        <v>94</v>
      </c>
      <c r="D4" s="1" t="s">
        <v>95</v>
      </c>
      <c r="E4" s="1" t="s">
        <v>96</v>
      </c>
      <c r="F4" s="1" t="s">
        <v>97</v>
      </c>
      <c r="G4" s="1" t="s">
        <v>98</v>
      </c>
      <c r="H4" s="1" t="s">
        <v>99</v>
      </c>
      <c r="I4" s="1" t="s">
        <v>56</v>
      </c>
    </row>
    <row r="5" spans="1:9" ht="14.4" customHeight="1" x14ac:dyDescent="0.3">
      <c r="A5" s="4">
        <v>1</v>
      </c>
      <c r="B5" s="5"/>
      <c r="C5" s="5"/>
      <c r="D5" s="6"/>
      <c r="E5" s="6"/>
      <c r="F5" s="6"/>
      <c r="G5" s="6"/>
      <c r="H5" s="6"/>
      <c r="I5" s="6"/>
    </row>
    <row r="6" spans="1:9" ht="14.4" customHeight="1" x14ac:dyDescent="0.3">
      <c r="A6" s="4">
        <v>2</v>
      </c>
      <c r="B6" s="5"/>
      <c r="C6" s="5"/>
      <c r="D6" s="6"/>
      <c r="E6" s="6"/>
      <c r="F6" s="6"/>
      <c r="G6" s="6"/>
      <c r="H6" s="6"/>
      <c r="I6" s="6"/>
    </row>
    <row r="7" spans="1:9" ht="14.4" customHeight="1" x14ac:dyDescent="0.3">
      <c r="A7" s="4">
        <v>3</v>
      </c>
      <c r="B7" s="5"/>
      <c r="C7" s="5"/>
      <c r="D7" s="6"/>
      <c r="E7" s="6"/>
      <c r="F7" s="6"/>
      <c r="G7" s="6"/>
      <c r="H7" s="6"/>
      <c r="I7" s="6"/>
    </row>
    <row r="8" spans="1:9" ht="16.8" customHeight="1" x14ac:dyDescent="0.3">
      <c r="A8" s="7"/>
      <c r="B8" s="7"/>
      <c r="C8" s="7"/>
      <c r="D8" s="7"/>
      <c r="E8" s="7"/>
      <c r="F8" s="7"/>
      <c r="G8" s="7"/>
      <c r="H8" s="7"/>
      <c r="I8" s="7"/>
    </row>
    <row r="9" spans="1:9" ht="16.8" customHeight="1" x14ac:dyDescent="0.3">
      <c r="A9" s="7"/>
      <c r="B9" s="7"/>
      <c r="C9" s="7"/>
      <c r="D9" s="7"/>
      <c r="E9" s="7"/>
      <c r="F9" s="7"/>
      <c r="G9" s="7"/>
      <c r="H9" s="7"/>
      <c r="I9" s="7"/>
    </row>
    <row r="10" spans="1:9" ht="16.8" customHeight="1" x14ac:dyDescent="0.3">
      <c r="A10" s="52" t="s">
        <v>100</v>
      </c>
      <c r="B10" s="45"/>
      <c r="C10" s="45"/>
      <c r="D10" s="45"/>
      <c r="E10" s="45"/>
      <c r="F10" s="45"/>
      <c r="G10" s="45"/>
      <c r="H10" s="45"/>
      <c r="I10" s="45"/>
    </row>
    <row r="11" spans="1:9" ht="41.4" customHeight="1" x14ac:dyDescent="0.3">
      <c r="A11" s="1" t="s">
        <v>101</v>
      </c>
      <c r="B11" s="1" t="s">
        <v>102</v>
      </c>
      <c r="C11" s="1" t="s">
        <v>103</v>
      </c>
      <c r="D11" s="1" t="s">
        <v>104</v>
      </c>
    </row>
    <row r="12" spans="1:9" ht="96.6" customHeight="1" x14ac:dyDescent="0.3">
      <c r="A12" s="8" t="s">
        <v>105</v>
      </c>
      <c r="B12" s="8" t="s">
        <v>106</v>
      </c>
      <c r="C12" s="8" t="s">
        <v>107</v>
      </c>
      <c r="D12" s="8" t="s">
        <v>108</v>
      </c>
    </row>
    <row r="13" spans="1:9" ht="55.2" customHeight="1" x14ac:dyDescent="0.3">
      <c r="A13" s="12" t="s">
        <v>109</v>
      </c>
      <c r="B13" s="12" t="s">
        <v>110</v>
      </c>
      <c r="C13" s="12" t="s">
        <v>111</v>
      </c>
      <c r="D13" s="12" t="s">
        <v>112</v>
      </c>
    </row>
    <row r="14" spans="1:9" ht="55.2" customHeight="1" x14ac:dyDescent="0.3">
      <c r="A14" s="8" t="s">
        <v>113</v>
      </c>
      <c r="B14" s="8" t="s">
        <v>114</v>
      </c>
      <c r="C14" s="8" t="s">
        <v>115</v>
      </c>
      <c r="D14" s="8" t="s">
        <v>116</v>
      </c>
    </row>
    <row r="15" spans="1:9" ht="41.4" customHeight="1" x14ac:dyDescent="0.3">
      <c r="A15" s="12" t="s">
        <v>117</v>
      </c>
      <c r="B15" s="12" t="s">
        <v>118</v>
      </c>
      <c r="C15" s="12" t="s">
        <v>119</v>
      </c>
      <c r="D15" s="12" t="s">
        <v>120</v>
      </c>
    </row>
    <row r="16" spans="1:9" ht="82.8" customHeight="1" x14ac:dyDescent="0.3">
      <c r="A16" s="8" t="s">
        <v>121</v>
      </c>
      <c r="B16" s="8" t="s">
        <v>122</v>
      </c>
      <c r="C16" s="8" t="s">
        <v>123</v>
      </c>
      <c r="D16" s="8" t="s">
        <v>124</v>
      </c>
    </row>
    <row r="17" spans="1:4" ht="96.6" customHeight="1" x14ac:dyDescent="0.3">
      <c r="A17" s="12" t="s">
        <v>125</v>
      </c>
      <c r="B17" s="12" t="s">
        <v>126</v>
      </c>
      <c r="C17" s="12" t="s">
        <v>127</v>
      </c>
      <c r="D17" s="12" t="s">
        <v>128</v>
      </c>
    </row>
    <row r="20" spans="1:4" ht="14.4" customHeight="1" x14ac:dyDescent="0.3">
      <c r="B20" s="15" t="s">
        <v>129</v>
      </c>
    </row>
    <row r="21" spans="1:4" ht="15.75" customHeight="1" x14ac:dyDescent="0.3"/>
    <row r="22" spans="1:4" ht="15.75" customHeight="1" x14ac:dyDescent="0.3"/>
    <row r="23" spans="1:4" ht="15.75" customHeight="1" x14ac:dyDescent="0.3"/>
    <row r="24" spans="1:4" ht="15.75" customHeight="1" x14ac:dyDescent="0.3"/>
    <row r="25" spans="1:4" ht="15.75" customHeight="1" x14ac:dyDescent="0.3"/>
    <row r="26" spans="1:4" ht="15.75" customHeight="1" x14ac:dyDescent="0.3"/>
    <row r="27" spans="1:4" ht="15.75" customHeight="1" x14ac:dyDescent="0.3"/>
    <row r="28" spans="1:4" ht="15.75" customHeight="1" x14ac:dyDescent="0.3"/>
    <row r="29" spans="1:4" ht="15.75" customHeight="1" x14ac:dyDescent="0.3"/>
    <row r="30" spans="1:4" ht="15.75" customHeight="1" x14ac:dyDescent="0.3"/>
    <row r="31" spans="1:4" ht="15.75" customHeight="1" x14ac:dyDescent="0.3"/>
    <row r="32" spans="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I1"/>
    <mergeCell ref="A2:I2"/>
    <mergeCell ref="A10:I10"/>
  </mergeCells>
  <hyperlinks>
    <hyperlink ref="B20" r:id="rId1" location="gid=0" xr:uid="{00000000-0004-0000-0200-000000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A1:J1000"/>
  <sheetViews>
    <sheetView workbookViewId="0">
      <pane ySplit="4" topLeftCell="A5" activePane="bottomLeft" state="frozen"/>
      <selection pane="bottomLeft" activeCell="B6" sqref="B6"/>
    </sheetView>
  </sheetViews>
  <sheetFormatPr defaultColWidth="14.44140625" defaultRowHeight="15" customHeight="1" x14ac:dyDescent="0.3"/>
  <cols>
    <col min="1" max="1" width="10" customWidth="1"/>
    <col min="2" max="2" width="45.6640625" customWidth="1"/>
    <col min="3" max="3" width="56.5546875" customWidth="1"/>
    <col min="4" max="4" width="31.109375" customWidth="1"/>
    <col min="5" max="5" width="32.88671875" customWidth="1"/>
    <col min="6" max="6" width="40.44140625" customWidth="1"/>
    <col min="7" max="9" width="14" customWidth="1"/>
    <col min="10" max="10" width="16" customWidth="1"/>
  </cols>
  <sheetData>
    <row r="1" spans="1:10" ht="21" customHeight="1" x14ac:dyDescent="0.4">
      <c r="A1" s="49" t="s">
        <v>130</v>
      </c>
      <c r="B1" s="45"/>
      <c r="C1" s="45"/>
      <c r="D1" s="45"/>
      <c r="E1" s="45"/>
      <c r="F1" s="45"/>
      <c r="G1" s="45"/>
      <c r="H1" s="45"/>
      <c r="I1" s="45"/>
      <c r="J1" s="45"/>
    </row>
    <row r="2" spans="1:10" ht="14.4" customHeight="1" x14ac:dyDescent="0.3">
      <c r="A2" s="46" t="s">
        <v>131</v>
      </c>
      <c r="B2" s="45"/>
      <c r="C2" s="45"/>
      <c r="D2" s="45"/>
      <c r="E2" s="45"/>
      <c r="F2" s="45"/>
      <c r="G2" s="45"/>
      <c r="H2" s="45"/>
      <c r="I2" s="45"/>
      <c r="J2" s="45"/>
    </row>
    <row r="4" spans="1:10" ht="27.6" customHeight="1" x14ac:dyDescent="0.3">
      <c r="A4" s="1" t="s">
        <v>132</v>
      </c>
      <c r="B4" s="1" t="s">
        <v>133</v>
      </c>
      <c r="C4" s="1" t="s">
        <v>134</v>
      </c>
      <c r="D4" s="1" t="s">
        <v>135</v>
      </c>
      <c r="E4" s="1" t="s">
        <v>136</v>
      </c>
      <c r="F4" s="1" t="s">
        <v>137</v>
      </c>
      <c r="G4" s="1" t="s">
        <v>138</v>
      </c>
      <c r="H4" s="1" t="s">
        <v>27</v>
      </c>
      <c r="I4" s="1" t="s">
        <v>139</v>
      </c>
      <c r="J4" s="1" t="s">
        <v>140</v>
      </c>
    </row>
    <row r="5" spans="1:10" ht="24" customHeight="1" x14ac:dyDescent="0.3">
      <c r="A5" s="53" t="s">
        <v>141</v>
      </c>
      <c r="B5" s="39"/>
      <c r="C5" s="39"/>
      <c r="D5" s="39"/>
      <c r="E5" s="39"/>
      <c r="F5" s="39"/>
      <c r="G5" s="39"/>
      <c r="H5" s="39"/>
      <c r="I5" s="39"/>
      <c r="J5" s="40"/>
    </row>
    <row r="6" spans="1:10" ht="37.950000000000003" customHeight="1" x14ac:dyDescent="0.3">
      <c r="A6" s="8" t="s">
        <v>142</v>
      </c>
      <c r="B6" s="10" t="s">
        <v>143</v>
      </c>
      <c r="C6" s="8" t="s">
        <v>144</v>
      </c>
      <c r="D6" s="8" t="s">
        <v>145</v>
      </c>
      <c r="E6" s="8" t="s">
        <v>146</v>
      </c>
      <c r="F6" s="8" t="s">
        <v>147</v>
      </c>
      <c r="G6" s="8" t="s">
        <v>148</v>
      </c>
      <c r="H6" s="8" t="s">
        <v>149</v>
      </c>
      <c r="I6" s="8" t="s">
        <v>28</v>
      </c>
      <c r="J6" s="8"/>
    </row>
    <row r="7" spans="1:10" ht="37.950000000000003" customHeight="1" x14ac:dyDescent="0.3">
      <c r="A7" s="12" t="s">
        <v>150</v>
      </c>
      <c r="B7" s="13" t="s">
        <v>151</v>
      </c>
      <c r="C7" s="12" t="s">
        <v>152</v>
      </c>
      <c r="D7" s="12" t="s">
        <v>153</v>
      </c>
      <c r="E7" s="12" t="s">
        <v>154</v>
      </c>
      <c r="F7" s="12" t="s">
        <v>155</v>
      </c>
      <c r="G7" s="12" t="s">
        <v>148</v>
      </c>
      <c r="H7" s="12" t="s">
        <v>156</v>
      </c>
      <c r="I7" s="12" t="s">
        <v>28</v>
      </c>
      <c r="J7" s="12"/>
    </row>
    <row r="8" spans="1:10" ht="37.950000000000003" customHeight="1" x14ac:dyDescent="0.3">
      <c r="A8" s="8" t="s">
        <v>157</v>
      </c>
      <c r="B8" s="8" t="s">
        <v>158</v>
      </c>
      <c r="C8" s="8" t="s">
        <v>159</v>
      </c>
      <c r="D8" s="8" t="s">
        <v>160</v>
      </c>
      <c r="E8" s="8" t="s">
        <v>161</v>
      </c>
      <c r="F8" s="8" t="s">
        <v>162</v>
      </c>
      <c r="G8" s="8" t="s">
        <v>148</v>
      </c>
      <c r="H8" s="8" t="s">
        <v>156</v>
      </c>
      <c r="I8" s="8" t="s">
        <v>28</v>
      </c>
      <c r="J8" s="8"/>
    </row>
    <row r="9" spans="1:10" ht="37.950000000000003" customHeight="1" x14ac:dyDescent="0.3">
      <c r="A9" s="12" t="s">
        <v>163</v>
      </c>
      <c r="B9" s="12" t="s">
        <v>164</v>
      </c>
      <c r="C9" s="12" t="s">
        <v>165</v>
      </c>
      <c r="D9" s="12" t="s">
        <v>145</v>
      </c>
      <c r="E9" s="12" t="s">
        <v>166</v>
      </c>
      <c r="F9" s="12" t="s">
        <v>167</v>
      </c>
      <c r="G9" s="12" t="s">
        <v>148</v>
      </c>
      <c r="H9" s="12" t="s">
        <v>149</v>
      </c>
      <c r="I9" s="12" t="s">
        <v>28</v>
      </c>
      <c r="J9" s="12"/>
    </row>
    <row r="10" spans="1:10" ht="37.950000000000003" customHeight="1" x14ac:dyDescent="0.3">
      <c r="A10" s="8" t="s">
        <v>168</v>
      </c>
      <c r="B10" s="8" t="s">
        <v>169</v>
      </c>
      <c r="C10" s="8" t="s">
        <v>170</v>
      </c>
      <c r="D10" s="8" t="s">
        <v>171</v>
      </c>
      <c r="E10" s="8" t="s">
        <v>172</v>
      </c>
      <c r="F10" s="8" t="s">
        <v>173</v>
      </c>
      <c r="G10" s="8" t="s">
        <v>148</v>
      </c>
      <c r="H10" s="8" t="s">
        <v>149</v>
      </c>
      <c r="I10" s="8" t="s">
        <v>28</v>
      </c>
      <c r="J10" s="8"/>
    </row>
    <row r="11" spans="1:10" ht="24" customHeight="1" x14ac:dyDescent="0.3">
      <c r="A11" s="53" t="s">
        <v>174</v>
      </c>
      <c r="B11" s="39"/>
      <c r="C11" s="39"/>
      <c r="D11" s="39"/>
      <c r="E11" s="39"/>
      <c r="F11" s="39"/>
      <c r="G11" s="39"/>
      <c r="H11" s="39"/>
      <c r="I11" s="39"/>
      <c r="J11" s="40"/>
    </row>
    <row r="12" spans="1:10" ht="37.950000000000003" customHeight="1" x14ac:dyDescent="0.3">
      <c r="A12" s="13" t="s">
        <v>175</v>
      </c>
      <c r="B12" s="13" t="s">
        <v>176</v>
      </c>
      <c r="C12" s="12" t="s">
        <v>177</v>
      </c>
      <c r="D12" s="12" t="s">
        <v>178</v>
      </c>
      <c r="E12" s="12" t="s">
        <v>179</v>
      </c>
      <c r="F12" s="12" t="s">
        <v>180</v>
      </c>
      <c r="G12" s="12" t="s">
        <v>148</v>
      </c>
      <c r="H12" s="12" t="s">
        <v>156</v>
      </c>
      <c r="I12" s="12" t="s">
        <v>28</v>
      </c>
      <c r="J12" s="12" t="s">
        <v>181</v>
      </c>
    </row>
    <row r="13" spans="1:10" ht="37.950000000000003" customHeight="1" x14ac:dyDescent="0.3">
      <c r="A13" s="8" t="s">
        <v>182</v>
      </c>
      <c r="B13" s="8" t="s">
        <v>183</v>
      </c>
      <c r="C13" s="8" t="s">
        <v>184</v>
      </c>
      <c r="D13" s="8" t="s">
        <v>178</v>
      </c>
      <c r="E13" s="8" t="s">
        <v>185</v>
      </c>
      <c r="F13" s="8" t="s">
        <v>186</v>
      </c>
      <c r="G13" s="8" t="s">
        <v>148</v>
      </c>
      <c r="H13" s="8" t="s">
        <v>156</v>
      </c>
      <c r="I13" s="8" t="s">
        <v>28</v>
      </c>
      <c r="J13" s="8" t="s">
        <v>181</v>
      </c>
    </row>
    <row r="14" spans="1:10" ht="24" customHeight="1" x14ac:dyDescent="0.3">
      <c r="A14" s="53" t="s">
        <v>187</v>
      </c>
      <c r="B14" s="39"/>
      <c r="C14" s="39"/>
      <c r="D14" s="39"/>
      <c r="E14" s="39"/>
      <c r="F14" s="39"/>
      <c r="G14" s="39"/>
      <c r="H14" s="39"/>
      <c r="I14" s="39"/>
      <c r="J14" s="40"/>
    </row>
    <row r="15" spans="1:10" ht="37.950000000000003" customHeight="1" x14ac:dyDescent="0.3">
      <c r="A15" s="13" t="s">
        <v>188</v>
      </c>
      <c r="B15" s="13" t="s">
        <v>189</v>
      </c>
      <c r="C15" s="12" t="s">
        <v>190</v>
      </c>
      <c r="D15" s="12" t="s">
        <v>178</v>
      </c>
      <c r="E15" s="12" t="s">
        <v>191</v>
      </c>
      <c r="F15" s="12" t="s">
        <v>192</v>
      </c>
      <c r="G15" s="12" t="s">
        <v>148</v>
      </c>
      <c r="H15" s="12" t="s">
        <v>156</v>
      </c>
      <c r="I15" s="12" t="s">
        <v>28</v>
      </c>
      <c r="J15" s="12" t="s">
        <v>181</v>
      </c>
    </row>
    <row r="16" spans="1:10" ht="37.950000000000003" customHeight="1" x14ac:dyDescent="0.3">
      <c r="A16" s="8" t="s">
        <v>193</v>
      </c>
      <c r="B16" s="8" t="s">
        <v>194</v>
      </c>
      <c r="C16" s="8" t="s">
        <v>195</v>
      </c>
      <c r="D16" s="8" t="s">
        <v>178</v>
      </c>
      <c r="E16" s="8" t="s">
        <v>196</v>
      </c>
      <c r="F16" s="8" t="s">
        <v>197</v>
      </c>
      <c r="G16" s="8" t="s">
        <v>148</v>
      </c>
      <c r="H16" s="8" t="s">
        <v>156</v>
      </c>
      <c r="I16" s="8" t="s">
        <v>28</v>
      </c>
      <c r="J16" s="8" t="s">
        <v>181</v>
      </c>
    </row>
    <row r="17" spans="1:10" ht="37.950000000000003" customHeight="1" x14ac:dyDescent="0.3">
      <c r="A17" s="13" t="s">
        <v>198</v>
      </c>
      <c r="B17" s="13" t="s">
        <v>199</v>
      </c>
      <c r="C17" s="12" t="s">
        <v>200</v>
      </c>
      <c r="D17" s="12" t="s">
        <v>178</v>
      </c>
      <c r="E17" s="12" t="s">
        <v>201</v>
      </c>
      <c r="F17" s="12" t="s">
        <v>202</v>
      </c>
      <c r="G17" s="12" t="s">
        <v>148</v>
      </c>
      <c r="H17" s="12" t="s">
        <v>156</v>
      </c>
      <c r="I17" s="12" t="s">
        <v>28</v>
      </c>
      <c r="J17" s="12" t="s">
        <v>181</v>
      </c>
    </row>
    <row r="18" spans="1:10" ht="37.950000000000003" customHeight="1" x14ac:dyDescent="0.3">
      <c r="A18" s="10" t="s">
        <v>203</v>
      </c>
      <c r="B18" s="10" t="s">
        <v>204</v>
      </c>
      <c r="C18" s="8" t="s">
        <v>205</v>
      </c>
      <c r="D18" s="8" t="s">
        <v>178</v>
      </c>
      <c r="E18" s="8" t="s">
        <v>206</v>
      </c>
      <c r="F18" s="8" t="s">
        <v>207</v>
      </c>
      <c r="G18" s="8" t="s">
        <v>148</v>
      </c>
      <c r="H18" s="8" t="s">
        <v>156</v>
      </c>
      <c r="I18" s="8" t="s">
        <v>28</v>
      </c>
      <c r="J18" s="8" t="s">
        <v>181</v>
      </c>
    </row>
    <row r="19" spans="1:10" ht="37.950000000000003" customHeight="1" x14ac:dyDescent="0.3">
      <c r="A19" s="13" t="s">
        <v>208</v>
      </c>
      <c r="B19" s="13" t="s">
        <v>209</v>
      </c>
      <c r="C19" s="12" t="s">
        <v>210</v>
      </c>
      <c r="D19" s="12" t="s">
        <v>178</v>
      </c>
      <c r="E19" s="12" t="s">
        <v>211</v>
      </c>
      <c r="F19" s="12" t="s">
        <v>212</v>
      </c>
      <c r="G19" s="12" t="s">
        <v>213</v>
      </c>
      <c r="H19" s="12" t="s">
        <v>149</v>
      </c>
      <c r="I19" s="12" t="s">
        <v>28</v>
      </c>
      <c r="J19" s="12" t="s">
        <v>181</v>
      </c>
    </row>
    <row r="20" spans="1:10" ht="37.950000000000003" customHeight="1" x14ac:dyDescent="0.3">
      <c r="A20" s="8" t="s">
        <v>214</v>
      </c>
      <c r="B20" s="8" t="s">
        <v>215</v>
      </c>
      <c r="C20" s="8" t="s">
        <v>216</v>
      </c>
      <c r="D20" s="8" t="s">
        <v>217</v>
      </c>
      <c r="E20" s="8" t="s">
        <v>218</v>
      </c>
      <c r="F20" s="8" t="s">
        <v>219</v>
      </c>
      <c r="G20" s="8" t="s">
        <v>148</v>
      </c>
      <c r="H20" s="8" t="s">
        <v>149</v>
      </c>
      <c r="I20" s="8" t="s">
        <v>28</v>
      </c>
      <c r="J20" s="8" t="s">
        <v>181</v>
      </c>
    </row>
    <row r="21" spans="1:10" ht="24" customHeight="1" x14ac:dyDescent="0.3">
      <c r="A21" s="53" t="s">
        <v>220</v>
      </c>
      <c r="B21" s="39"/>
      <c r="C21" s="39"/>
      <c r="D21" s="39"/>
      <c r="E21" s="39"/>
      <c r="F21" s="39"/>
      <c r="G21" s="39"/>
      <c r="H21" s="39"/>
      <c r="I21" s="39"/>
      <c r="J21" s="40"/>
    </row>
    <row r="22" spans="1:10" ht="37.950000000000003" customHeight="1" x14ac:dyDescent="0.3">
      <c r="A22" s="13" t="s">
        <v>221</v>
      </c>
      <c r="B22" s="13" t="s">
        <v>222</v>
      </c>
      <c r="C22" s="12" t="s">
        <v>223</v>
      </c>
      <c r="D22" s="12" t="s">
        <v>224</v>
      </c>
      <c r="E22" s="12" t="s">
        <v>225</v>
      </c>
      <c r="F22" s="12" t="s">
        <v>226</v>
      </c>
      <c r="G22" s="12" t="s">
        <v>148</v>
      </c>
      <c r="H22" s="12" t="s">
        <v>156</v>
      </c>
      <c r="I22" s="12" t="s">
        <v>30</v>
      </c>
      <c r="J22" s="12" t="s">
        <v>227</v>
      </c>
    </row>
    <row r="23" spans="1:10" ht="37.950000000000003" customHeight="1" x14ac:dyDescent="0.3">
      <c r="A23" s="10" t="s">
        <v>228</v>
      </c>
      <c r="B23" s="17" t="s">
        <v>229</v>
      </c>
      <c r="C23" s="8" t="s">
        <v>230</v>
      </c>
      <c r="D23" s="8" t="s">
        <v>224</v>
      </c>
      <c r="E23" s="8" t="s">
        <v>231</v>
      </c>
      <c r="F23" s="8" t="s">
        <v>232</v>
      </c>
      <c r="G23" s="8" t="s">
        <v>148</v>
      </c>
      <c r="H23" s="8" t="s">
        <v>156</v>
      </c>
      <c r="I23" s="12" t="s">
        <v>30</v>
      </c>
      <c r="J23" s="8" t="s">
        <v>227</v>
      </c>
    </row>
    <row r="24" spans="1:10" ht="37.950000000000003" customHeight="1" x14ac:dyDescent="0.3">
      <c r="A24" s="12" t="s">
        <v>233</v>
      </c>
      <c r="B24" s="12" t="s">
        <v>234</v>
      </c>
      <c r="C24" s="12" t="s">
        <v>235</v>
      </c>
      <c r="D24" s="12" t="s">
        <v>224</v>
      </c>
      <c r="E24" s="12" t="s">
        <v>236</v>
      </c>
      <c r="F24" s="12" t="s">
        <v>237</v>
      </c>
      <c r="G24" s="12" t="s">
        <v>148</v>
      </c>
      <c r="H24" s="12" t="s">
        <v>149</v>
      </c>
      <c r="I24" s="12" t="s">
        <v>30</v>
      </c>
      <c r="J24" s="12" t="s">
        <v>227</v>
      </c>
    </row>
    <row r="25" spans="1:10" ht="37.950000000000003" customHeight="1" x14ac:dyDescent="0.3">
      <c r="A25" s="10" t="s">
        <v>238</v>
      </c>
      <c r="B25" s="10" t="s">
        <v>239</v>
      </c>
      <c r="C25" s="8" t="s">
        <v>240</v>
      </c>
      <c r="D25" s="8" t="s">
        <v>241</v>
      </c>
      <c r="E25" s="8" t="s">
        <v>242</v>
      </c>
      <c r="F25" s="8" t="s">
        <v>243</v>
      </c>
      <c r="G25" s="8" t="s">
        <v>148</v>
      </c>
      <c r="H25" s="8" t="s">
        <v>149</v>
      </c>
      <c r="I25" s="12" t="s">
        <v>30</v>
      </c>
      <c r="J25" s="8" t="s">
        <v>227</v>
      </c>
    </row>
    <row r="26" spans="1:10" ht="37.950000000000003" customHeight="1" x14ac:dyDescent="0.3">
      <c r="A26" s="13" t="s">
        <v>244</v>
      </c>
      <c r="B26" s="13" t="s">
        <v>245</v>
      </c>
      <c r="C26" s="12" t="s">
        <v>246</v>
      </c>
      <c r="D26" s="12" t="s">
        <v>224</v>
      </c>
      <c r="E26" s="12" t="s">
        <v>247</v>
      </c>
      <c r="F26" s="12" t="s">
        <v>248</v>
      </c>
      <c r="G26" s="12" t="s">
        <v>148</v>
      </c>
      <c r="H26" s="12" t="s">
        <v>156</v>
      </c>
      <c r="I26" s="12" t="s">
        <v>30</v>
      </c>
      <c r="J26" s="12" t="s">
        <v>227</v>
      </c>
    </row>
    <row r="27" spans="1:10" ht="37.950000000000003" customHeight="1" x14ac:dyDescent="0.3">
      <c r="A27" s="8" t="s">
        <v>249</v>
      </c>
      <c r="B27" s="8" t="s">
        <v>250</v>
      </c>
      <c r="C27" s="8" t="s">
        <v>251</v>
      </c>
      <c r="D27" s="8" t="s">
        <v>171</v>
      </c>
      <c r="E27" s="8" t="s">
        <v>252</v>
      </c>
      <c r="F27" s="8" t="s">
        <v>253</v>
      </c>
      <c r="G27" s="8" t="s">
        <v>148</v>
      </c>
      <c r="H27" s="8" t="s">
        <v>149</v>
      </c>
      <c r="I27" s="8" t="s">
        <v>30</v>
      </c>
      <c r="J27" s="8" t="s">
        <v>227</v>
      </c>
    </row>
    <row r="28" spans="1:10" ht="37.950000000000003" customHeight="1" x14ac:dyDescent="0.3">
      <c r="A28" s="12" t="s">
        <v>254</v>
      </c>
      <c r="B28" s="12" t="s">
        <v>255</v>
      </c>
      <c r="C28" s="12" t="s">
        <v>256</v>
      </c>
      <c r="D28" s="12" t="s">
        <v>224</v>
      </c>
      <c r="E28" s="12" t="s">
        <v>257</v>
      </c>
      <c r="F28" s="12" t="s">
        <v>258</v>
      </c>
      <c r="G28" s="12" t="s">
        <v>148</v>
      </c>
      <c r="H28" s="12" t="s">
        <v>149</v>
      </c>
      <c r="I28" s="12" t="s">
        <v>30</v>
      </c>
      <c r="J28" s="12" t="s">
        <v>227</v>
      </c>
    </row>
    <row r="29" spans="1:10" ht="24" customHeight="1" x14ac:dyDescent="0.3">
      <c r="A29" s="53" t="s">
        <v>259</v>
      </c>
      <c r="B29" s="39"/>
      <c r="C29" s="39"/>
      <c r="D29" s="39"/>
      <c r="E29" s="39"/>
      <c r="F29" s="39"/>
      <c r="G29" s="39"/>
      <c r="H29" s="39"/>
      <c r="I29" s="39"/>
      <c r="J29" s="40"/>
    </row>
    <row r="30" spans="1:10" ht="37.950000000000003" customHeight="1" x14ac:dyDescent="0.3">
      <c r="A30" s="10" t="s">
        <v>260</v>
      </c>
      <c r="B30" s="10" t="s">
        <v>261</v>
      </c>
      <c r="C30" s="8" t="s">
        <v>262</v>
      </c>
      <c r="D30" s="8" t="s">
        <v>241</v>
      </c>
      <c r="E30" s="8" t="s">
        <v>263</v>
      </c>
      <c r="F30" s="8" t="s">
        <v>264</v>
      </c>
      <c r="G30" s="8" t="s">
        <v>148</v>
      </c>
      <c r="H30" s="8" t="s">
        <v>149</v>
      </c>
      <c r="I30" s="12" t="s">
        <v>30</v>
      </c>
      <c r="J30" s="8" t="s">
        <v>227</v>
      </c>
    </row>
    <row r="31" spans="1:10" ht="37.950000000000003" customHeight="1" x14ac:dyDescent="0.3">
      <c r="A31" s="13" t="s">
        <v>265</v>
      </c>
      <c r="B31" s="13" t="s">
        <v>266</v>
      </c>
      <c r="C31" s="12" t="s">
        <v>267</v>
      </c>
      <c r="D31" s="12" t="s">
        <v>178</v>
      </c>
      <c r="E31" s="12" t="s">
        <v>268</v>
      </c>
      <c r="F31" s="12" t="s">
        <v>269</v>
      </c>
      <c r="G31" s="12" t="s">
        <v>148</v>
      </c>
      <c r="H31" s="12" t="s">
        <v>149</v>
      </c>
      <c r="I31" s="12" t="s">
        <v>33</v>
      </c>
      <c r="J31" s="12" t="s">
        <v>227</v>
      </c>
    </row>
    <row r="32" spans="1:10" ht="37.950000000000003" customHeight="1" x14ac:dyDescent="0.3">
      <c r="A32" s="8" t="s">
        <v>270</v>
      </c>
      <c r="B32" s="8" t="s">
        <v>271</v>
      </c>
      <c r="C32" s="8" t="s">
        <v>272</v>
      </c>
      <c r="D32" s="8" t="s">
        <v>178</v>
      </c>
      <c r="E32" s="8" t="s">
        <v>273</v>
      </c>
      <c r="F32" s="8" t="s">
        <v>274</v>
      </c>
      <c r="G32" s="8" t="s">
        <v>148</v>
      </c>
      <c r="H32" s="8" t="s">
        <v>149</v>
      </c>
      <c r="I32" s="8" t="s">
        <v>33</v>
      </c>
      <c r="J32" s="8" t="s">
        <v>227</v>
      </c>
    </row>
    <row r="33" spans="1:10" ht="24" customHeight="1" x14ac:dyDescent="0.3">
      <c r="A33" s="53" t="s">
        <v>275</v>
      </c>
      <c r="B33" s="39"/>
      <c r="C33" s="39"/>
      <c r="D33" s="39"/>
      <c r="E33" s="39"/>
      <c r="F33" s="39"/>
      <c r="G33" s="39"/>
      <c r="H33" s="39"/>
      <c r="I33" s="39"/>
      <c r="J33" s="40"/>
    </row>
    <row r="34" spans="1:10" ht="37.950000000000003" customHeight="1" x14ac:dyDescent="0.3">
      <c r="A34" s="12" t="s">
        <v>276</v>
      </c>
      <c r="B34" s="12" t="s">
        <v>277</v>
      </c>
      <c r="C34" s="12" t="s">
        <v>278</v>
      </c>
      <c r="D34" s="12" t="s">
        <v>178</v>
      </c>
      <c r="E34" s="12" t="s">
        <v>279</v>
      </c>
      <c r="F34" s="12" t="s">
        <v>280</v>
      </c>
      <c r="G34" s="12" t="s">
        <v>148</v>
      </c>
      <c r="H34" s="12" t="s">
        <v>156</v>
      </c>
      <c r="I34" s="12" t="s">
        <v>33</v>
      </c>
      <c r="J34" s="12" t="s">
        <v>227</v>
      </c>
    </row>
    <row r="35" spans="1:10" ht="37.950000000000003" customHeight="1" x14ac:dyDescent="0.3">
      <c r="A35" s="8" t="s">
        <v>281</v>
      </c>
      <c r="B35" s="8" t="s">
        <v>282</v>
      </c>
      <c r="C35" s="8" t="s">
        <v>283</v>
      </c>
      <c r="D35" s="8" t="s">
        <v>178</v>
      </c>
      <c r="E35" s="8" t="s">
        <v>284</v>
      </c>
      <c r="F35" s="8" t="s">
        <v>285</v>
      </c>
      <c r="G35" s="8" t="s">
        <v>148</v>
      </c>
      <c r="H35" s="8" t="s">
        <v>156</v>
      </c>
      <c r="I35" s="8" t="s">
        <v>33</v>
      </c>
      <c r="J35" s="8" t="s">
        <v>227</v>
      </c>
    </row>
    <row r="36" spans="1:10" ht="24" customHeight="1" x14ac:dyDescent="0.3">
      <c r="A36" s="53" t="s">
        <v>286</v>
      </c>
      <c r="B36" s="39"/>
      <c r="C36" s="39"/>
      <c r="D36" s="39"/>
      <c r="E36" s="39"/>
      <c r="F36" s="39"/>
      <c r="G36" s="39"/>
      <c r="H36" s="39"/>
      <c r="I36" s="39"/>
      <c r="J36" s="40"/>
    </row>
    <row r="37" spans="1:10" ht="37.950000000000003" customHeight="1" x14ac:dyDescent="0.3">
      <c r="A37" s="13" t="s">
        <v>287</v>
      </c>
      <c r="B37" s="13" t="s">
        <v>288</v>
      </c>
      <c r="C37" s="12" t="s">
        <v>289</v>
      </c>
      <c r="D37" s="12" t="s">
        <v>178</v>
      </c>
      <c r="E37" s="12" t="s">
        <v>290</v>
      </c>
      <c r="F37" s="12" t="s">
        <v>291</v>
      </c>
      <c r="G37" s="12" t="s">
        <v>148</v>
      </c>
      <c r="H37" s="12" t="s">
        <v>156</v>
      </c>
      <c r="I37" s="12" t="s">
        <v>33</v>
      </c>
      <c r="J37" s="12" t="s">
        <v>227</v>
      </c>
    </row>
    <row r="38" spans="1:10" ht="37.950000000000003" customHeight="1" x14ac:dyDescent="0.3">
      <c r="A38" s="10" t="s">
        <v>292</v>
      </c>
      <c r="B38" s="10" t="s">
        <v>293</v>
      </c>
      <c r="C38" s="8" t="s">
        <v>294</v>
      </c>
      <c r="D38" s="8" t="s">
        <v>178</v>
      </c>
      <c r="E38" s="8" t="s">
        <v>295</v>
      </c>
      <c r="F38" s="8" t="s">
        <v>296</v>
      </c>
      <c r="G38" s="8" t="s">
        <v>148</v>
      </c>
      <c r="H38" s="8" t="s">
        <v>156</v>
      </c>
      <c r="I38" s="12" t="s">
        <v>33</v>
      </c>
      <c r="J38" s="8" t="s">
        <v>227</v>
      </c>
    </row>
    <row r="39" spans="1:10" ht="37.950000000000003" customHeight="1" x14ac:dyDescent="0.3">
      <c r="A39" s="13" t="s">
        <v>297</v>
      </c>
      <c r="B39" s="13" t="s">
        <v>298</v>
      </c>
      <c r="C39" s="12" t="s">
        <v>299</v>
      </c>
      <c r="D39" s="12" t="s">
        <v>178</v>
      </c>
      <c r="E39" s="12" t="s">
        <v>300</v>
      </c>
      <c r="F39" s="12" t="s">
        <v>301</v>
      </c>
      <c r="G39" s="12" t="s">
        <v>148</v>
      </c>
      <c r="H39" s="12" t="s">
        <v>149</v>
      </c>
      <c r="I39" s="12" t="s">
        <v>33</v>
      </c>
      <c r="J39" s="12" t="s">
        <v>227</v>
      </c>
    </row>
    <row r="40" spans="1:10" ht="24" customHeight="1" x14ac:dyDescent="0.3">
      <c r="A40" s="53" t="s">
        <v>302</v>
      </c>
      <c r="B40" s="39"/>
      <c r="C40" s="39"/>
      <c r="D40" s="39"/>
      <c r="E40" s="39"/>
      <c r="F40" s="39"/>
      <c r="G40" s="39"/>
      <c r="H40" s="39"/>
      <c r="I40" s="39"/>
      <c r="J40" s="40"/>
    </row>
    <row r="41" spans="1:10" ht="37.950000000000003" customHeight="1" x14ac:dyDescent="0.3">
      <c r="A41" s="12" t="s">
        <v>303</v>
      </c>
      <c r="B41" s="8" t="s">
        <v>304</v>
      </c>
      <c r="C41" s="8" t="s">
        <v>305</v>
      </c>
      <c r="D41" s="8" t="s">
        <v>224</v>
      </c>
      <c r="E41" s="8" t="s">
        <v>306</v>
      </c>
      <c r="F41" s="8" t="s">
        <v>307</v>
      </c>
      <c r="G41" s="8" t="s">
        <v>148</v>
      </c>
      <c r="H41" s="8" t="s">
        <v>156</v>
      </c>
      <c r="I41" s="8" t="s">
        <v>33</v>
      </c>
      <c r="J41" s="8" t="s">
        <v>227</v>
      </c>
    </row>
    <row r="42" spans="1:10" ht="37.950000000000003" customHeight="1" x14ac:dyDescent="0.3">
      <c r="A42" s="8" t="s">
        <v>308</v>
      </c>
      <c r="B42" s="12" t="s">
        <v>309</v>
      </c>
      <c r="C42" s="12" t="s">
        <v>310</v>
      </c>
      <c r="D42" s="12" t="s">
        <v>224</v>
      </c>
      <c r="E42" s="12" t="s">
        <v>311</v>
      </c>
      <c r="F42" s="12" t="s">
        <v>312</v>
      </c>
      <c r="G42" s="12" t="s">
        <v>148</v>
      </c>
      <c r="H42" s="12" t="s">
        <v>156</v>
      </c>
      <c r="I42" s="12" t="s">
        <v>33</v>
      </c>
      <c r="J42" s="12" t="s">
        <v>227</v>
      </c>
    </row>
    <row r="43" spans="1:10" ht="37.950000000000003" customHeight="1" x14ac:dyDescent="0.3">
      <c r="A43" s="12" t="s">
        <v>313</v>
      </c>
      <c r="B43" s="8" t="s">
        <v>314</v>
      </c>
      <c r="C43" s="8" t="s">
        <v>315</v>
      </c>
      <c r="D43" s="8" t="s">
        <v>224</v>
      </c>
      <c r="E43" s="8" t="s">
        <v>316</v>
      </c>
      <c r="F43" s="8" t="s">
        <v>317</v>
      </c>
      <c r="G43" s="8" t="s">
        <v>213</v>
      </c>
      <c r="H43" s="8" t="s">
        <v>149</v>
      </c>
      <c r="I43" s="8" t="s">
        <v>35</v>
      </c>
      <c r="J43" s="8"/>
    </row>
    <row r="44" spans="1:10" ht="37.950000000000003" customHeight="1" x14ac:dyDescent="0.3">
      <c r="A44" s="12" t="s">
        <v>318</v>
      </c>
      <c r="B44" s="12" t="s">
        <v>319</v>
      </c>
      <c r="C44" s="12" t="s">
        <v>320</v>
      </c>
      <c r="D44" s="12" t="s">
        <v>224</v>
      </c>
      <c r="E44" s="12" t="s">
        <v>321</v>
      </c>
      <c r="F44" s="12" t="s">
        <v>322</v>
      </c>
      <c r="G44" s="12" t="s">
        <v>213</v>
      </c>
      <c r="H44" s="12" t="s">
        <v>149</v>
      </c>
      <c r="I44" s="12" t="s">
        <v>35</v>
      </c>
      <c r="J44" s="12"/>
    </row>
    <row r="45" spans="1:10" ht="37.950000000000003" customHeight="1" x14ac:dyDescent="0.3">
      <c r="A45" s="8" t="s">
        <v>323</v>
      </c>
      <c r="B45" s="8" t="s">
        <v>324</v>
      </c>
      <c r="C45" s="8" t="s">
        <v>325</v>
      </c>
      <c r="D45" s="8" t="s">
        <v>145</v>
      </c>
      <c r="E45" s="8" t="s">
        <v>326</v>
      </c>
      <c r="F45" s="8" t="s">
        <v>327</v>
      </c>
      <c r="G45" s="8" t="s">
        <v>213</v>
      </c>
      <c r="H45" s="8" t="s">
        <v>149</v>
      </c>
      <c r="I45" s="8" t="s">
        <v>35</v>
      </c>
      <c r="J45" s="8"/>
    </row>
    <row r="46" spans="1:10" ht="24" customHeight="1" x14ac:dyDescent="0.3">
      <c r="A46" s="53" t="s">
        <v>328</v>
      </c>
      <c r="B46" s="39"/>
      <c r="C46" s="39"/>
      <c r="D46" s="39"/>
      <c r="E46" s="39"/>
      <c r="F46" s="39"/>
      <c r="G46" s="39"/>
      <c r="H46" s="39"/>
      <c r="I46" s="39"/>
      <c r="J46" s="40"/>
    </row>
    <row r="47" spans="1:10" ht="37.950000000000003" customHeight="1" x14ac:dyDescent="0.3">
      <c r="A47" s="13" t="s">
        <v>329</v>
      </c>
      <c r="B47" s="22" t="s">
        <v>330</v>
      </c>
      <c r="C47" s="12" t="s">
        <v>331</v>
      </c>
      <c r="D47" s="12" t="s">
        <v>160</v>
      </c>
      <c r="E47" s="12" t="s">
        <v>332</v>
      </c>
      <c r="F47" s="12" t="s">
        <v>333</v>
      </c>
      <c r="G47" s="12" t="s">
        <v>148</v>
      </c>
      <c r="H47" s="12" t="s">
        <v>156</v>
      </c>
      <c r="I47" s="12" t="s">
        <v>35</v>
      </c>
      <c r="J47" s="12"/>
    </row>
    <row r="48" spans="1:10" ht="37.950000000000003" customHeight="1" x14ac:dyDescent="0.3">
      <c r="A48" s="12" t="s">
        <v>334</v>
      </c>
      <c r="B48" s="10" t="s">
        <v>335</v>
      </c>
      <c r="C48" s="8" t="s">
        <v>336</v>
      </c>
      <c r="D48" s="8" t="s">
        <v>337</v>
      </c>
      <c r="E48" s="8" t="s">
        <v>338</v>
      </c>
      <c r="F48" s="8" t="s">
        <v>339</v>
      </c>
      <c r="G48" s="8" t="s">
        <v>148</v>
      </c>
      <c r="H48" s="8" t="s">
        <v>149</v>
      </c>
      <c r="I48" s="8" t="s">
        <v>35</v>
      </c>
      <c r="J48" s="8"/>
    </row>
    <row r="49" spans="1:10" ht="37.950000000000003" customHeight="1" x14ac:dyDescent="0.3">
      <c r="A49" s="12" t="s">
        <v>340</v>
      </c>
      <c r="B49" s="12" t="s">
        <v>341</v>
      </c>
      <c r="C49" s="12" t="s">
        <v>342</v>
      </c>
      <c r="D49" s="12" t="s">
        <v>160</v>
      </c>
      <c r="E49" s="12" t="s">
        <v>343</v>
      </c>
      <c r="F49" s="12" t="s">
        <v>344</v>
      </c>
      <c r="G49" s="12" t="s">
        <v>148</v>
      </c>
      <c r="H49" s="12" t="s">
        <v>156</v>
      </c>
      <c r="I49" s="12" t="s">
        <v>35</v>
      </c>
      <c r="J49" s="12"/>
    </row>
    <row r="50" spans="1:10" ht="24" customHeight="1" x14ac:dyDescent="0.3">
      <c r="A50" s="53" t="s">
        <v>345</v>
      </c>
      <c r="B50" s="39"/>
      <c r="C50" s="39"/>
      <c r="D50" s="39"/>
      <c r="E50" s="39"/>
      <c r="F50" s="39"/>
      <c r="G50" s="39"/>
      <c r="H50" s="39"/>
      <c r="I50" s="39"/>
      <c r="J50" s="40"/>
    </row>
    <row r="51" spans="1:10" ht="37.950000000000003" customHeight="1" x14ac:dyDescent="0.3">
      <c r="A51" s="8" t="s">
        <v>346</v>
      </c>
      <c r="B51" s="8" t="s">
        <v>347</v>
      </c>
      <c r="C51" s="8" t="s">
        <v>348</v>
      </c>
      <c r="D51" s="8" t="s">
        <v>349</v>
      </c>
      <c r="E51" s="8" t="s">
        <v>350</v>
      </c>
      <c r="F51" s="8" t="s">
        <v>351</v>
      </c>
      <c r="G51" s="8" t="s">
        <v>148</v>
      </c>
      <c r="H51" s="8" t="s">
        <v>149</v>
      </c>
      <c r="I51" s="8" t="s">
        <v>35</v>
      </c>
      <c r="J51" s="8"/>
    </row>
    <row r="52" spans="1:10" ht="37.950000000000003" customHeight="1" x14ac:dyDescent="0.3">
      <c r="A52" s="12" t="s">
        <v>352</v>
      </c>
      <c r="B52" s="12" t="s">
        <v>353</v>
      </c>
      <c r="C52" s="12" t="s">
        <v>354</v>
      </c>
      <c r="D52" s="12" t="s">
        <v>160</v>
      </c>
      <c r="E52" s="12" t="s">
        <v>355</v>
      </c>
      <c r="F52" s="12" t="s">
        <v>356</v>
      </c>
      <c r="G52" s="12" t="s">
        <v>148</v>
      </c>
      <c r="H52" s="12" t="s">
        <v>149</v>
      </c>
      <c r="I52" s="12" t="s">
        <v>35</v>
      </c>
      <c r="J52" s="12"/>
    </row>
    <row r="53" spans="1:10" ht="37.950000000000003" customHeight="1" x14ac:dyDescent="0.3">
      <c r="A53" s="12" t="s">
        <v>357</v>
      </c>
      <c r="B53" s="8" t="s">
        <v>358</v>
      </c>
      <c r="C53" s="8" t="s">
        <v>359</v>
      </c>
      <c r="D53" s="8" t="s">
        <v>145</v>
      </c>
      <c r="E53" s="8" t="s">
        <v>360</v>
      </c>
      <c r="F53" s="8" t="s">
        <v>361</v>
      </c>
      <c r="G53" s="8" t="s">
        <v>148</v>
      </c>
      <c r="H53" s="8" t="s">
        <v>149</v>
      </c>
      <c r="I53" s="8" t="s">
        <v>35</v>
      </c>
      <c r="J53" s="8"/>
    </row>
    <row r="54" spans="1:10" ht="37.950000000000003" customHeight="1" x14ac:dyDescent="0.3">
      <c r="A54" s="12" t="s">
        <v>362</v>
      </c>
      <c r="B54" s="12" t="s">
        <v>363</v>
      </c>
      <c r="C54" s="12" t="s">
        <v>364</v>
      </c>
      <c r="D54" s="12" t="s">
        <v>160</v>
      </c>
      <c r="E54" s="12" t="s">
        <v>365</v>
      </c>
      <c r="F54" s="12" t="s">
        <v>366</v>
      </c>
      <c r="G54" s="12" t="s">
        <v>148</v>
      </c>
      <c r="H54" s="12" t="s">
        <v>149</v>
      </c>
      <c r="I54" s="12" t="s">
        <v>35</v>
      </c>
      <c r="J54" s="12"/>
    </row>
    <row r="55" spans="1:10" ht="37.950000000000003" customHeight="1" x14ac:dyDescent="0.3">
      <c r="A55" s="8" t="s">
        <v>367</v>
      </c>
      <c r="B55" s="8" t="s">
        <v>368</v>
      </c>
      <c r="C55" s="8" t="s">
        <v>369</v>
      </c>
      <c r="D55" s="8" t="s">
        <v>370</v>
      </c>
      <c r="E55" s="8" t="s">
        <v>371</v>
      </c>
      <c r="F55" s="8" t="s">
        <v>372</v>
      </c>
      <c r="G55" s="8" t="s">
        <v>213</v>
      </c>
      <c r="H55" s="8" t="s">
        <v>149</v>
      </c>
      <c r="I55" s="8" t="s">
        <v>35</v>
      </c>
      <c r="J55" s="8"/>
    </row>
    <row r="56" spans="1:10" ht="15.75" customHeight="1" x14ac:dyDescent="0.3"/>
    <row r="57" spans="1:10" ht="15.75" customHeight="1" x14ac:dyDescent="0.3"/>
    <row r="58" spans="1:10" ht="15.75" customHeight="1" x14ac:dyDescent="0.3"/>
    <row r="59" spans="1:10" ht="15.75" customHeight="1" x14ac:dyDescent="0.3">
      <c r="A59" s="24" t="s">
        <v>373</v>
      </c>
    </row>
    <row r="60" spans="1:10" ht="15.75" customHeight="1" x14ac:dyDescent="0.3">
      <c r="A60" s="25" t="s">
        <v>148</v>
      </c>
      <c r="B60" s="26" t="s">
        <v>374</v>
      </c>
    </row>
    <row r="61" spans="1:10" ht="15.75" customHeight="1" x14ac:dyDescent="0.3">
      <c r="A61" s="27" t="s">
        <v>213</v>
      </c>
      <c r="B61" s="26" t="s">
        <v>375</v>
      </c>
    </row>
    <row r="62" spans="1:10" ht="15.75" customHeight="1" x14ac:dyDescent="0.3">
      <c r="A62" s="28" t="s">
        <v>376</v>
      </c>
      <c r="B62" s="26" t="s">
        <v>377</v>
      </c>
    </row>
    <row r="63" spans="1:10" ht="15.75" customHeight="1" x14ac:dyDescent="0.3">
      <c r="A63" s="26" t="s">
        <v>378</v>
      </c>
      <c r="B63" s="26" t="s">
        <v>379</v>
      </c>
    </row>
    <row r="64" spans="1:10"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2">
    <mergeCell ref="A50:J50"/>
    <mergeCell ref="A29:J29"/>
    <mergeCell ref="A2:J2"/>
    <mergeCell ref="A33:J33"/>
    <mergeCell ref="A11:J11"/>
    <mergeCell ref="A1:J1"/>
    <mergeCell ref="A46:J46"/>
    <mergeCell ref="A5:J5"/>
    <mergeCell ref="A36:J36"/>
    <mergeCell ref="A14:J14"/>
    <mergeCell ref="A40:J40"/>
    <mergeCell ref="A21:J21"/>
  </mergeCells>
  <conditionalFormatting sqref="H6:H10 H12:H13 H15:H20 H22:H28 H30:H32 H34:H35 H37:H39 H41:H45 H47:H49 H51:H55">
    <cfRule type="cellIs" dxfId="23" priority="1" operator="equal">
      <formula>"Hoàn thành"</formula>
    </cfRule>
    <cfRule type="cellIs" dxfId="22" priority="2" operator="equal">
      <formula>"Đang làm"</formula>
    </cfRule>
    <cfRule type="cellIs" dxfId="21" priority="3" operator="equal">
      <formula>"Bị kẹt"</formula>
    </cfRule>
    <cfRule type="cellIs" dxfId="20" priority="4" operator="equal">
      <formula>"Chưa bắt đầu"</formula>
    </cfRule>
  </conditionalFormatting>
  <dataValidations count="3">
    <dataValidation type="list" allowBlank="1" sqref="I6:I10 I12:I13 I15:I20 I22:I28 I30:I32 I34:I35 I37:I39 I41:I45 I47:I49 I51:I55" xr:uid="{00000000-0002-0000-0300-000000000000}">
      <formula1>"Sprint 1,Sprint 2,Sprint 3,Sprint 4"</formula1>
    </dataValidation>
    <dataValidation type="list" allowBlank="1" sqref="H6:H10 H12:H13 H15:H20 H22:H28 H30:H32 H34:H35 H37:H39 H41:H45 H47:H49 H51:H55" xr:uid="{00000000-0002-0000-0300-000001000000}">
      <formula1>"Chưa làm,Đang làm,Đang review,Hoàn thành,Bị kẹt,Không làm"</formula1>
    </dataValidation>
    <dataValidation type="list" allowBlank="1" sqref="G6:G10 G12:G13 G15:G20 G22:G28 G30:G32 G34:G35 G37:G39 G41:G45 G47:G49 G51:G55" xr:uid="{00000000-0002-0000-0300-000002000000}">
      <formula1>"Bắt buộc,Nên có,Có thì tốt,Không làm"</formula1>
    </dataValidation>
  </dataValidations>
  <hyperlinks>
    <hyperlink ref="J12" location="'Đặc tả tính năng'!A4" display="Đặc tả #1" xr:uid="{00000000-0004-0000-0300-000000000000}"/>
    <hyperlink ref="J13" location="'Đặc tả tính năng'!A4" display="Đặc tả #1" xr:uid="{00000000-0004-0000-0300-000001000000}"/>
    <hyperlink ref="J15" location="'Đặc tả tính năng'!A4" display="Đặc tả #1" xr:uid="{00000000-0004-0000-0300-000002000000}"/>
    <hyperlink ref="J16" location="'Đặc tả tính năng'!A4" display="Đặc tả #1" xr:uid="{00000000-0004-0000-0300-000003000000}"/>
    <hyperlink ref="J17" location="'Đặc tả tính năng'!A4" display="Đặc tả #1" xr:uid="{00000000-0004-0000-0300-000004000000}"/>
    <hyperlink ref="J18" location="'Đặc tả tính năng'!A4" display="Đặc tả #1" xr:uid="{00000000-0004-0000-0300-000005000000}"/>
    <hyperlink ref="J19" location="'Đặc tả tính năng'!A4" display="Đặc tả #1" xr:uid="{00000000-0004-0000-0300-000006000000}"/>
    <hyperlink ref="J20" location="'Đặc tả tính năng'!A4" display="Đặc tả #1" xr:uid="{00000000-0004-0000-0300-000007000000}"/>
    <hyperlink ref="J22" location="'Đặc tả tính năng'!A37" display="Đặc tả #2" xr:uid="{00000000-0004-0000-0300-000008000000}"/>
    <hyperlink ref="J23" location="'Đặc tả tính năng'!A37" display="Đặc tả #2" xr:uid="{00000000-0004-0000-0300-000009000000}"/>
    <hyperlink ref="J24" location="'Đặc tả tính năng'!A37" display="Đặc tả #2" xr:uid="{00000000-0004-0000-0300-00000A000000}"/>
    <hyperlink ref="J25" location="'Đặc tả tính năng'!A37" display="Đặc tả #2" xr:uid="{00000000-0004-0000-0300-00000B000000}"/>
    <hyperlink ref="J26" location="'Đặc tả tính năng'!A37" display="Đặc tả #2" xr:uid="{00000000-0004-0000-0300-00000C000000}"/>
    <hyperlink ref="J27" location="'Đặc tả tính năng'!A37" display="Đặc tả #2" xr:uid="{00000000-0004-0000-0300-00000D000000}"/>
    <hyperlink ref="J28" location="'Đặc tả tính năng'!A37" display="Đặc tả #2" xr:uid="{00000000-0004-0000-0300-00000E000000}"/>
    <hyperlink ref="J30" location="'Đặc tả tính năng'!A37" display="Đặc tả #2" xr:uid="{00000000-0004-0000-0300-00000F000000}"/>
    <hyperlink ref="J31" location="'Đặc tả tính năng'!A37" display="Đặc tả #2" xr:uid="{00000000-0004-0000-0300-000010000000}"/>
    <hyperlink ref="J32" location="'Đặc tả tính năng'!A37" display="Đặc tả #2" xr:uid="{00000000-0004-0000-0300-000011000000}"/>
    <hyperlink ref="J34" location="'Đặc tả tính năng'!A37" display="Đặc tả #2" xr:uid="{00000000-0004-0000-0300-000012000000}"/>
    <hyperlink ref="J35" location="'Đặc tả tính năng'!A37" display="Đặc tả #2" xr:uid="{00000000-0004-0000-0300-000013000000}"/>
    <hyperlink ref="J37" location="'Đặc tả tính năng'!A37" display="Đặc tả #2" xr:uid="{00000000-0004-0000-0300-000014000000}"/>
    <hyperlink ref="J38" location="'Đặc tả tính năng'!A37" display="Đặc tả #2" xr:uid="{00000000-0004-0000-0300-000015000000}"/>
    <hyperlink ref="J39" location="'Đặc tả tính năng'!A37" display="Đặc tả #2" xr:uid="{00000000-0004-0000-0300-000016000000}"/>
    <hyperlink ref="J41" location="'Đặc tả tính năng'!A37" display="Đặc tả #2" xr:uid="{00000000-0004-0000-0300-000017000000}"/>
    <hyperlink ref="J42" location="'Đặc tả tính năng'!A37" display="Đặc tả #2" xr:uid="{00000000-0004-0000-0300-000018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N1000"/>
  <sheetViews>
    <sheetView workbookViewId="0">
      <pane ySplit="4" topLeftCell="A5" activePane="bottomLeft" state="frozen"/>
      <selection pane="bottomLeft" activeCell="B6" sqref="B6"/>
    </sheetView>
  </sheetViews>
  <sheetFormatPr defaultColWidth="14.44140625" defaultRowHeight="15" customHeight="1" x14ac:dyDescent="0.3"/>
  <cols>
    <col min="1" max="1" width="5" customWidth="1"/>
    <col min="2" max="2" width="10" customWidth="1"/>
    <col min="3" max="3" width="30" customWidth="1"/>
    <col min="4" max="4" width="14" customWidth="1"/>
    <col min="5" max="5" width="32" customWidth="1"/>
    <col min="6" max="6" width="12" customWidth="1"/>
    <col min="7" max="7" width="10" customWidth="1"/>
    <col min="8" max="8" width="12" customWidth="1"/>
    <col min="9" max="9" width="18" customWidth="1"/>
    <col min="10" max="11" width="12" customWidth="1"/>
    <col min="12" max="13" width="18" customWidth="1"/>
    <col min="14" max="14" width="20" customWidth="1"/>
  </cols>
  <sheetData>
    <row r="1" spans="1:14" ht="21" customHeight="1" x14ac:dyDescent="0.4">
      <c r="A1" s="49" t="s">
        <v>380</v>
      </c>
      <c r="B1" s="45"/>
      <c r="C1" s="45"/>
      <c r="D1" s="45"/>
      <c r="E1" s="45"/>
      <c r="F1" s="45"/>
      <c r="G1" s="45"/>
      <c r="H1" s="45"/>
      <c r="I1" s="45"/>
      <c r="J1" s="45"/>
      <c r="K1" s="45"/>
      <c r="L1" s="45"/>
      <c r="M1" s="45"/>
      <c r="N1" s="45"/>
    </row>
    <row r="2" spans="1:14" ht="14.4" customHeight="1" x14ac:dyDescent="0.3">
      <c r="A2" s="46" t="s">
        <v>381</v>
      </c>
      <c r="B2" s="45"/>
      <c r="C2" s="45"/>
      <c r="D2" s="45"/>
      <c r="E2" s="45"/>
      <c r="F2" s="45"/>
      <c r="G2" s="45"/>
      <c r="H2" s="45"/>
      <c r="I2" s="45"/>
      <c r="J2" s="45"/>
      <c r="K2" s="45"/>
      <c r="L2" s="45"/>
      <c r="M2" s="45"/>
      <c r="N2" s="45"/>
    </row>
    <row r="4" spans="1:14" ht="27.6" customHeight="1" x14ac:dyDescent="0.3">
      <c r="A4" s="1" t="s">
        <v>51</v>
      </c>
      <c r="B4" s="1" t="s">
        <v>382</v>
      </c>
      <c r="C4" s="1" t="s">
        <v>383</v>
      </c>
      <c r="D4" s="1" t="s">
        <v>384</v>
      </c>
      <c r="E4" s="1" t="s">
        <v>385</v>
      </c>
      <c r="F4" s="1" t="s">
        <v>20</v>
      </c>
      <c r="G4" s="1" t="s">
        <v>386</v>
      </c>
      <c r="H4" s="1" t="s">
        <v>387</v>
      </c>
      <c r="I4" s="1" t="s">
        <v>388</v>
      </c>
      <c r="J4" s="1" t="s">
        <v>389</v>
      </c>
      <c r="K4" s="1" t="s">
        <v>27</v>
      </c>
      <c r="L4" s="1" t="s">
        <v>390</v>
      </c>
      <c r="M4" s="1" t="s">
        <v>391</v>
      </c>
      <c r="N4" s="1" t="s">
        <v>56</v>
      </c>
    </row>
    <row r="5" spans="1:14" ht="14.4" customHeight="1" x14ac:dyDescent="0.3">
      <c r="A5" s="3"/>
      <c r="B5" s="51" t="s">
        <v>392</v>
      </c>
      <c r="C5" s="39"/>
      <c r="D5" s="39"/>
      <c r="E5" s="39"/>
      <c r="F5" s="39"/>
      <c r="G5" s="39"/>
      <c r="H5" s="39"/>
      <c r="I5" s="39"/>
      <c r="J5" s="39"/>
      <c r="K5" s="39"/>
      <c r="L5" s="39"/>
      <c r="M5" s="39"/>
      <c r="N5" s="40"/>
    </row>
    <row r="6" spans="1:14" ht="43.95" customHeight="1" x14ac:dyDescent="0.3">
      <c r="A6" s="23">
        <v>1</v>
      </c>
      <c r="B6" s="8" t="s">
        <v>393</v>
      </c>
      <c r="C6" s="8" t="s">
        <v>394</v>
      </c>
      <c r="D6" s="8" t="s">
        <v>395</v>
      </c>
      <c r="E6" s="8" t="s">
        <v>396</v>
      </c>
      <c r="F6" s="8" t="s">
        <v>28</v>
      </c>
      <c r="G6" s="8" t="s">
        <v>397</v>
      </c>
      <c r="H6" s="8">
        <v>8</v>
      </c>
      <c r="I6" s="16" t="s">
        <v>78</v>
      </c>
      <c r="J6" s="35">
        <v>46255</v>
      </c>
      <c r="K6" s="8" t="s">
        <v>398</v>
      </c>
      <c r="L6" s="8" t="s">
        <v>69</v>
      </c>
      <c r="M6" s="8"/>
      <c r="N6" s="8" t="s">
        <v>399</v>
      </c>
    </row>
    <row r="7" spans="1:14" ht="43.95" customHeight="1" x14ac:dyDescent="0.3">
      <c r="A7" s="23">
        <v>2</v>
      </c>
      <c r="B7" s="8" t="s">
        <v>400</v>
      </c>
      <c r="C7" s="8" t="s">
        <v>401</v>
      </c>
      <c r="D7" s="8" t="s">
        <v>402</v>
      </c>
      <c r="E7" s="8" t="s">
        <v>403</v>
      </c>
      <c r="F7" s="8" t="s">
        <v>28</v>
      </c>
      <c r="G7" s="8" t="s">
        <v>397</v>
      </c>
      <c r="H7" s="8">
        <v>24</v>
      </c>
      <c r="I7" s="16" t="s">
        <v>404</v>
      </c>
      <c r="J7" s="35">
        <v>46255</v>
      </c>
      <c r="K7" s="8" t="s">
        <v>398</v>
      </c>
      <c r="L7" s="8" t="s">
        <v>405</v>
      </c>
      <c r="M7" s="8"/>
      <c r="N7" s="8" t="s">
        <v>406</v>
      </c>
    </row>
    <row r="8" spans="1:14" ht="43.95" customHeight="1" x14ac:dyDescent="0.3">
      <c r="A8" s="23">
        <v>3</v>
      </c>
      <c r="B8" s="8" t="s">
        <v>407</v>
      </c>
      <c r="C8" s="8" t="s">
        <v>408</v>
      </c>
      <c r="D8" s="8" t="s">
        <v>409</v>
      </c>
      <c r="E8" s="8" t="s">
        <v>410</v>
      </c>
      <c r="F8" s="8" t="s">
        <v>28</v>
      </c>
      <c r="G8" s="8" t="s">
        <v>397</v>
      </c>
      <c r="H8" s="8">
        <v>12</v>
      </c>
      <c r="I8" s="16" t="s">
        <v>404</v>
      </c>
      <c r="J8" s="35">
        <v>46255</v>
      </c>
      <c r="K8" s="8" t="s">
        <v>398</v>
      </c>
      <c r="L8" s="8" t="s">
        <v>405</v>
      </c>
      <c r="M8" s="8"/>
      <c r="N8" s="8" t="s">
        <v>411</v>
      </c>
    </row>
    <row r="9" spans="1:14" ht="43.95" customHeight="1" x14ac:dyDescent="0.3">
      <c r="A9" s="23">
        <v>4</v>
      </c>
      <c r="B9" s="8" t="s">
        <v>412</v>
      </c>
      <c r="C9" s="8" t="s">
        <v>413</v>
      </c>
      <c r="D9" s="8" t="s">
        <v>395</v>
      </c>
      <c r="E9" s="8" t="s">
        <v>414</v>
      </c>
      <c r="F9" s="8" t="s">
        <v>28</v>
      </c>
      <c r="G9" s="8" t="s">
        <v>397</v>
      </c>
      <c r="H9" s="8">
        <v>16</v>
      </c>
      <c r="I9" s="16" t="s">
        <v>415</v>
      </c>
      <c r="J9" s="35">
        <v>46260</v>
      </c>
      <c r="K9" s="8" t="s">
        <v>26</v>
      </c>
      <c r="L9" s="8" t="s">
        <v>416</v>
      </c>
      <c r="M9" s="8" t="s">
        <v>417</v>
      </c>
      <c r="N9" s="8" t="s">
        <v>418</v>
      </c>
    </row>
    <row r="10" spans="1:14" ht="43.95" customHeight="1" x14ac:dyDescent="0.3">
      <c r="A10" s="23">
        <v>5</v>
      </c>
      <c r="B10" s="8" t="s">
        <v>419</v>
      </c>
      <c r="C10" s="8" t="s">
        <v>420</v>
      </c>
      <c r="D10" s="8" t="s">
        <v>421</v>
      </c>
      <c r="E10" s="8" t="s">
        <v>422</v>
      </c>
      <c r="F10" s="8" t="s">
        <v>28</v>
      </c>
      <c r="G10" s="8" t="s">
        <v>397</v>
      </c>
      <c r="H10" s="8">
        <v>16</v>
      </c>
      <c r="I10" s="16" t="s">
        <v>423</v>
      </c>
      <c r="J10" s="35">
        <v>46261</v>
      </c>
      <c r="K10" s="8" t="s">
        <v>149</v>
      </c>
      <c r="L10" s="8"/>
      <c r="M10" s="8"/>
      <c r="N10" s="8" t="s">
        <v>424</v>
      </c>
    </row>
    <row r="11" spans="1:14" ht="14.4" customHeight="1" x14ac:dyDescent="0.3">
      <c r="A11" s="3"/>
      <c r="B11" s="51" t="s">
        <v>425</v>
      </c>
      <c r="C11" s="39"/>
      <c r="D11" s="39"/>
      <c r="E11" s="39"/>
      <c r="F11" s="39"/>
      <c r="G11" s="39"/>
      <c r="H11" s="39"/>
      <c r="I11" s="39"/>
      <c r="J11" s="39"/>
      <c r="K11" s="39"/>
      <c r="L11" s="39"/>
      <c r="M11" s="39"/>
      <c r="N11" s="40"/>
    </row>
    <row r="12" spans="1:14" ht="43.95" customHeight="1" x14ac:dyDescent="0.3">
      <c r="A12" s="23">
        <v>6</v>
      </c>
      <c r="B12" s="8" t="s">
        <v>426</v>
      </c>
      <c r="C12" s="8" t="s">
        <v>427</v>
      </c>
      <c r="D12" s="8" t="s">
        <v>395</v>
      </c>
      <c r="E12" s="8" t="s">
        <v>428</v>
      </c>
      <c r="F12" s="8" t="s">
        <v>30</v>
      </c>
      <c r="G12" s="8" t="s">
        <v>397</v>
      </c>
      <c r="H12" s="8">
        <v>16</v>
      </c>
      <c r="I12" s="16" t="s">
        <v>429</v>
      </c>
      <c r="J12" s="35">
        <v>46266</v>
      </c>
      <c r="K12" s="8" t="s">
        <v>149</v>
      </c>
      <c r="L12" s="8"/>
      <c r="M12" s="8"/>
      <c r="N12" s="8"/>
    </row>
    <row r="13" spans="1:14" ht="43.95" customHeight="1" x14ac:dyDescent="0.3">
      <c r="A13" s="23">
        <v>7</v>
      </c>
      <c r="B13" s="8" t="s">
        <v>430</v>
      </c>
      <c r="C13" s="8" t="s">
        <v>431</v>
      </c>
      <c r="D13" s="8" t="s">
        <v>432</v>
      </c>
      <c r="E13" s="8" t="s">
        <v>433</v>
      </c>
      <c r="F13" s="8" t="s">
        <v>30</v>
      </c>
      <c r="G13" s="8" t="s">
        <v>397</v>
      </c>
      <c r="H13" s="8">
        <v>20</v>
      </c>
      <c r="I13" s="16" t="s">
        <v>434</v>
      </c>
      <c r="J13" s="35">
        <v>46267</v>
      </c>
      <c r="K13" s="8" t="s">
        <v>149</v>
      </c>
      <c r="L13" s="8"/>
      <c r="M13" s="8"/>
      <c r="N13" s="8"/>
    </row>
    <row r="14" spans="1:14" ht="43.95" customHeight="1" x14ac:dyDescent="0.3">
      <c r="A14" s="23">
        <v>8</v>
      </c>
      <c r="B14" s="8" t="s">
        <v>435</v>
      </c>
      <c r="C14" s="8" t="s">
        <v>436</v>
      </c>
      <c r="D14" s="8" t="s">
        <v>437</v>
      </c>
      <c r="E14" s="8" t="s">
        <v>438</v>
      </c>
      <c r="F14" s="8" t="s">
        <v>30</v>
      </c>
      <c r="G14" s="8" t="s">
        <v>397</v>
      </c>
      <c r="H14" s="8">
        <v>24</v>
      </c>
      <c r="I14" s="16" t="s">
        <v>434</v>
      </c>
      <c r="J14" s="35">
        <v>46268</v>
      </c>
      <c r="K14" s="8" t="s">
        <v>149</v>
      </c>
      <c r="L14" s="8"/>
      <c r="M14" s="8"/>
      <c r="N14" s="8"/>
    </row>
    <row r="15" spans="1:14" ht="43.95" customHeight="1" x14ac:dyDescent="0.3">
      <c r="A15" s="23">
        <v>9</v>
      </c>
      <c r="B15" s="8" t="s">
        <v>439</v>
      </c>
      <c r="C15" s="8" t="s">
        <v>440</v>
      </c>
      <c r="D15" s="8" t="s">
        <v>441</v>
      </c>
      <c r="E15" s="8" t="s">
        <v>442</v>
      </c>
      <c r="F15" s="8" t="s">
        <v>30</v>
      </c>
      <c r="G15" s="8" t="s">
        <v>397</v>
      </c>
      <c r="H15" s="8">
        <v>28</v>
      </c>
      <c r="I15" s="16" t="s">
        <v>423</v>
      </c>
      <c r="J15" s="35">
        <v>46268</v>
      </c>
      <c r="K15" s="8" t="s">
        <v>149</v>
      </c>
      <c r="L15" s="8"/>
      <c r="M15" s="8"/>
      <c r="N15" s="8" t="s">
        <v>443</v>
      </c>
    </row>
    <row r="16" spans="1:14" ht="14.4" customHeight="1" x14ac:dyDescent="0.3">
      <c r="A16" s="3"/>
      <c r="B16" s="51" t="s">
        <v>444</v>
      </c>
      <c r="C16" s="39"/>
      <c r="D16" s="39"/>
      <c r="E16" s="39"/>
      <c r="F16" s="39"/>
      <c r="G16" s="39"/>
      <c r="H16" s="39"/>
      <c r="I16" s="39"/>
      <c r="J16" s="39"/>
      <c r="K16" s="39"/>
      <c r="L16" s="39"/>
      <c r="M16" s="39"/>
      <c r="N16" s="40"/>
    </row>
    <row r="17" spans="1:14" ht="43.95" customHeight="1" x14ac:dyDescent="0.3">
      <c r="A17" s="23">
        <v>10</v>
      </c>
      <c r="B17" s="8" t="s">
        <v>445</v>
      </c>
      <c r="C17" s="8" t="s">
        <v>446</v>
      </c>
      <c r="D17" s="8" t="s">
        <v>447</v>
      </c>
      <c r="E17" s="8" t="s">
        <v>448</v>
      </c>
      <c r="F17" s="8" t="s">
        <v>33</v>
      </c>
      <c r="G17" s="8" t="s">
        <v>397</v>
      </c>
      <c r="H17" s="8">
        <v>32</v>
      </c>
      <c r="I17" s="16" t="s">
        <v>449</v>
      </c>
      <c r="J17" s="35">
        <v>46273</v>
      </c>
      <c r="K17" s="8" t="s">
        <v>149</v>
      </c>
      <c r="L17" s="8"/>
      <c r="M17" s="8"/>
      <c r="N17" s="8" t="s">
        <v>450</v>
      </c>
    </row>
    <row r="18" spans="1:14" ht="43.95" customHeight="1" x14ac:dyDescent="0.3">
      <c r="A18" s="23">
        <v>11</v>
      </c>
      <c r="B18" s="8" t="s">
        <v>451</v>
      </c>
      <c r="C18" s="8" t="s">
        <v>452</v>
      </c>
      <c r="D18" s="8" t="s">
        <v>453</v>
      </c>
      <c r="E18" s="8" t="s">
        <v>454</v>
      </c>
      <c r="F18" s="8" t="s">
        <v>33</v>
      </c>
      <c r="G18" s="8" t="s">
        <v>397</v>
      </c>
      <c r="H18" s="8">
        <v>32</v>
      </c>
      <c r="I18" s="16" t="s">
        <v>455</v>
      </c>
      <c r="J18" s="35">
        <v>46274</v>
      </c>
      <c r="K18" s="8" t="s">
        <v>149</v>
      </c>
      <c r="L18" s="8"/>
      <c r="M18" s="8"/>
      <c r="N18" s="8" t="s">
        <v>456</v>
      </c>
    </row>
    <row r="19" spans="1:14" ht="43.95" customHeight="1" x14ac:dyDescent="0.3">
      <c r="A19" s="23">
        <v>12</v>
      </c>
      <c r="B19" s="8" t="s">
        <v>457</v>
      </c>
      <c r="C19" s="8" t="s">
        <v>458</v>
      </c>
      <c r="D19" s="8" t="s">
        <v>459</v>
      </c>
      <c r="E19" s="8" t="s">
        <v>460</v>
      </c>
      <c r="F19" s="8" t="s">
        <v>33</v>
      </c>
      <c r="G19" s="8" t="s">
        <v>397</v>
      </c>
      <c r="H19" s="8">
        <v>24</v>
      </c>
      <c r="I19" s="16" t="s">
        <v>455</v>
      </c>
      <c r="J19" s="35">
        <v>46275</v>
      </c>
      <c r="K19" s="8" t="s">
        <v>149</v>
      </c>
      <c r="L19" s="8"/>
      <c r="M19" s="8"/>
      <c r="N19" s="8" t="s">
        <v>461</v>
      </c>
    </row>
    <row r="20" spans="1:14" ht="14.4" customHeight="1" x14ac:dyDescent="0.3">
      <c r="A20" s="3"/>
      <c r="B20" s="51" t="s">
        <v>462</v>
      </c>
      <c r="C20" s="39"/>
      <c r="D20" s="39"/>
      <c r="E20" s="39"/>
      <c r="F20" s="39"/>
      <c r="G20" s="39"/>
      <c r="H20" s="39"/>
      <c r="I20" s="39"/>
      <c r="J20" s="39"/>
      <c r="K20" s="39"/>
      <c r="L20" s="39"/>
      <c r="M20" s="39"/>
      <c r="N20" s="40"/>
    </row>
    <row r="21" spans="1:14" ht="43.95" customHeight="1" x14ac:dyDescent="0.3">
      <c r="A21" s="23">
        <v>13</v>
      </c>
      <c r="B21" s="8" t="s">
        <v>463</v>
      </c>
      <c r="C21" s="8" t="s">
        <v>464</v>
      </c>
      <c r="D21" s="8" t="s">
        <v>465</v>
      </c>
      <c r="E21" s="8" t="s">
        <v>466</v>
      </c>
      <c r="F21" s="8" t="s">
        <v>35</v>
      </c>
      <c r="G21" s="8" t="s">
        <v>397</v>
      </c>
      <c r="H21" s="8">
        <v>24</v>
      </c>
      <c r="I21" s="16" t="s">
        <v>467</v>
      </c>
      <c r="J21" s="35">
        <v>46276</v>
      </c>
      <c r="K21" s="8" t="s">
        <v>149</v>
      </c>
      <c r="L21" s="8"/>
      <c r="M21" s="8"/>
      <c r="N21" s="8" t="s">
        <v>468</v>
      </c>
    </row>
    <row r="22" spans="1:14" ht="43.95" customHeight="1" x14ac:dyDescent="0.3">
      <c r="A22" s="23">
        <v>14</v>
      </c>
      <c r="B22" s="8" t="s">
        <v>469</v>
      </c>
      <c r="C22" s="8" t="s">
        <v>470</v>
      </c>
      <c r="D22" s="8" t="s">
        <v>471</v>
      </c>
      <c r="E22" s="8" t="s">
        <v>472</v>
      </c>
      <c r="F22" s="8" t="s">
        <v>35</v>
      </c>
      <c r="G22" s="8" t="s">
        <v>397</v>
      </c>
      <c r="H22" s="8">
        <v>24</v>
      </c>
      <c r="I22" s="16" t="s">
        <v>473</v>
      </c>
      <c r="J22" s="35">
        <v>46279</v>
      </c>
      <c r="K22" s="8" t="s">
        <v>149</v>
      </c>
      <c r="L22" s="8"/>
      <c r="M22" s="8" t="s">
        <v>474</v>
      </c>
      <c r="N22" s="8" t="s">
        <v>475</v>
      </c>
    </row>
    <row r="23" spans="1:14" ht="43.95" customHeight="1" x14ac:dyDescent="0.3">
      <c r="A23" s="23">
        <v>15</v>
      </c>
      <c r="B23" s="8" t="s">
        <v>476</v>
      </c>
      <c r="C23" s="8" t="s">
        <v>477</v>
      </c>
      <c r="D23" s="8" t="s">
        <v>478</v>
      </c>
      <c r="E23" s="8" t="s">
        <v>479</v>
      </c>
      <c r="F23" s="8" t="s">
        <v>35</v>
      </c>
      <c r="G23" s="8" t="s">
        <v>480</v>
      </c>
      <c r="H23" s="8">
        <v>16</v>
      </c>
      <c r="I23" s="16" t="s">
        <v>455</v>
      </c>
      <c r="J23" s="35">
        <v>46279</v>
      </c>
      <c r="K23" s="8" t="s">
        <v>149</v>
      </c>
      <c r="L23" s="8"/>
      <c r="M23" s="8"/>
      <c r="N23" s="8"/>
    </row>
    <row r="24" spans="1:14" ht="43.95" customHeight="1" x14ac:dyDescent="0.3">
      <c r="A24" s="23">
        <v>16</v>
      </c>
      <c r="B24" s="8" t="s">
        <v>481</v>
      </c>
      <c r="C24" s="8" t="s">
        <v>482</v>
      </c>
      <c r="D24" s="8" t="s">
        <v>318</v>
      </c>
      <c r="E24" s="8" t="s">
        <v>483</v>
      </c>
      <c r="F24" s="8" t="s">
        <v>35</v>
      </c>
      <c r="G24" s="8" t="s">
        <v>480</v>
      </c>
      <c r="H24" s="8">
        <v>12</v>
      </c>
      <c r="I24" s="16" t="s">
        <v>455</v>
      </c>
      <c r="J24" s="35">
        <v>46280</v>
      </c>
      <c r="K24" s="8" t="s">
        <v>149</v>
      </c>
      <c r="L24" s="8"/>
      <c r="M24" s="8"/>
      <c r="N24" s="8"/>
    </row>
    <row r="25" spans="1:14" ht="43.95" customHeight="1" x14ac:dyDescent="0.3">
      <c r="A25" s="8">
        <v>17</v>
      </c>
      <c r="B25" s="8" t="s">
        <v>484</v>
      </c>
      <c r="C25" s="11" t="s">
        <v>485</v>
      </c>
      <c r="D25" s="11" t="s">
        <v>323</v>
      </c>
      <c r="E25" s="11" t="s">
        <v>486</v>
      </c>
      <c r="F25" s="11" t="s">
        <v>35</v>
      </c>
      <c r="G25" s="11" t="s">
        <v>480</v>
      </c>
      <c r="H25" s="11">
        <v>8</v>
      </c>
      <c r="I25" s="11" t="s">
        <v>455</v>
      </c>
      <c r="J25" s="36">
        <v>46280</v>
      </c>
      <c r="K25" s="11" t="s">
        <v>149</v>
      </c>
      <c r="L25" s="11"/>
      <c r="M25" s="11"/>
      <c r="N25" s="11"/>
    </row>
    <row r="26" spans="1:14" ht="43.95" customHeight="1" x14ac:dyDescent="0.3">
      <c r="A26" s="8">
        <v>18</v>
      </c>
      <c r="B26" s="8" t="s">
        <v>487</v>
      </c>
      <c r="C26" s="11" t="s">
        <v>488</v>
      </c>
      <c r="D26" s="11" t="s">
        <v>489</v>
      </c>
      <c r="E26" s="11" t="s">
        <v>490</v>
      </c>
      <c r="F26" s="11" t="s">
        <v>35</v>
      </c>
      <c r="G26" s="11" t="s">
        <v>480</v>
      </c>
      <c r="H26" s="11">
        <v>20</v>
      </c>
      <c r="I26" s="11" t="s">
        <v>455</v>
      </c>
      <c r="J26" s="36">
        <v>46281</v>
      </c>
      <c r="K26" s="11" t="s">
        <v>149</v>
      </c>
      <c r="L26" s="11"/>
      <c r="M26" s="11"/>
      <c r="N26" s="11"/>
    </row>
    <row r="27" spans="1:14" ht="43.95" customHeight="1" x14ac:dyDescent="0.3">
      <c r="A27" s="8">
        <v>19</v>
      </c>
      <c r="B27" s="8" t="s">
        <v>491</v>
      </c>
      <c r="C27" s="11" t="s">
        <v>492</v>
      </c>
      <c r="D27" s="11" t="s">
        <v>493</v>
      </c>
      <c r="E27" s="11" t="s">
        <v>494</v>
      </c>
      <c r="F27" s="11" t="s">
        <v>35</v>
      </c>
      <c r="G27" s="11" t="s">
        <v>397</v>
      </c>
      <c r="H27" s="11">
        <v>16</v>
      </c>
      <c r="I27" s="11" t="s">
        <v>495</v>
      </c>
      <c r="J27" s="36">
        <v>46281</v>
      </c>
      <c r="K27" s="11" t="s">
        <v>149</v>
      </c>
      <c r="L27" s="11"/>
      <c r="M27" s="11"/>
      <c r="N27" s="11"/>
    </row>
    <row r="28" spans="1:14" ht="43.95" customHeight="1" x14ac:dyDescent="0.3">
      <c r="A28" s="8">
        <v>20</v>
      </c>
      <c r="B28" s="8" t="s">
        <v>496</v>
      </c>
      <c r="C28" s="11" t="s">
        <v>497</v>
      </c>
      <c r="D28" s="11" t="s">
        <v>357</v>
      </c>
      <c r="E28" s="11" t="s">
        <v>498</v>
      </c>
      <c r="F28" s="11" t="s">
        <v>35</v>
      </c>
      <c r="G28" s="11" t="s">
        <v>397</v>
      </c>
      <c r="H28" s="11">
        <v>16</v>
      </c>
      <c r="I28" s="11" t="s">
        <v>499</v>
      </c>
      <c r="J28" s="36">
        <v>46281</v>
      </c>
      <c r="K28" s="11" t="s">
        <v>149</v>
      </c>
      <c r="L28" s="11"/>
      <c r="M28" s="11"/>
      <c r="N28" s="11"/>
    </row>
    <row r="29" spans="1:14" ht="43.95" customHeight="1" x14ac:dyDescent="0.3">
      <c r="A29" s="8">
        <v>21</v>
      </c>
      <c r="B29" s="8" t="s">
        <v>500</v>
      </c>
      <c r="C29" s="11" t="s">
        <v>501</v>
      </c>
      <c r="D29" s="11" t="s">
        <v>395</v>
      </c>
      <c r="E29" s="11" t="s">
        <v>502</v>
      </c>
      <c r="F29" s="11" t="s">
        <v>35</v>
      </c>
      <c r="G29" s="11" t="s">
        <v>397</v>
      </c>
      <c r="H29" s="11">
        <v>24</v>
      </c>
      <c r="I29" s="11" t="s">
        <v>503</v>
      </c>
      <c r="J29" s="36">
        <v>46282</v>
      </c>
      <c r="K29" s="11" t="s">
        <v>149</v>
      </c>
      <c r="L29" s="11"/>
      <c r="M29" s="11"/>
      <c r="N29" s="11"/>
    </row>
    <row r="30" spans="1:14" ht="43.95" customHeight="1" x14ac:dyDescent="0.3">
      <c r="A30" s="8">
        <v>22</v>
      </c>
      <c r="B30" s="8" t="s">
        <v>504</v>
      </c>
      <c r="C30" s="11" t="s">
        <v>505</v>
      </c>
      <c r="D30" s="11" t="s">
        <v>362</v>
      </c>
      <c r="E30" s="11" t="s">
        <v>506</v>
      </c>
      <c r="F30" s="11" t="s">
        <v>35</v>
      </c>
      <c r="G30" s="11" t="s">
        <v>397</v>
      </c>
      <c r="H30" s="11">
        <v>16</v>
      </c>
      <c r="I30" s="11" t="s">
        <v>507</v>
      </c>
      <c r="J30" s="36">
        <v>46282</v>
      </c>
      <c r="K30" s="11" t="s">
        <v>149</v>
      </c>
      <c r="L30" s="11"/>
      <c r="M30" s="11"/>
      <c r="N30" s="11"/>
    </row>
    <row r="31" spans="1:14" ht="43.95" customHeight="1" x14ac:dyDescent="0.3">
      <c r="A31" s="8">
        <v>23</v>
      </c>
      <c r="B31" s="8" t="s">
        <v>508</v>
      </c>
      <c r="C31" s="11" t="s">
        <v>509</v>
      </c>
      <c r="D31" s="11" t="s">
        <v>395</v>
      </c>
      <c r="E31" s="11" t="s">
        <v>510</v>
      </c>
      <c r="F31" s="11" t="s">
        <v>35</v>
      </c>
      <c r="G31" s="11" t="s">
        <v>397</v>
      </c>
      <c r="H31" s="11">
        <v>16</v>
      </c>
      <c r="I31" s="11" t="s">
        <v>511</v>
      </c>
      <c r="J31" s="36">
        <v>46282</v>
      </c>
      <c r="K31" s="11" t="s">
        <v>149</v>
      </c>
      <c r="L31" s="11"/>
      <c r="M31" s="11"/>
      <c r="N31" s="11"/>
    </row>
    <row r="32" spans="1:14" ht="43.95" customHeight="1" x14ac:dyDescent="0.3">
      <c r="A32" s="8">
        <v>24</v>
      </c>
      <c r="B32" s="8" t="s">
        <v>512</v>
      </c>
      <c r="C32" s="11" t="s">
        <v>513</v>
      </c>
      <c r="D32" s="11" t="s">
        <v>395</v>
      </c>
      <c r="E32" s="11" t="s">
        <v>514</v>
      </c>
      <c r="F32" s="11" t="s">
        <v>35</v>
      </c>
      <c r="G32" s="11" t="s">
        <v>480</v>
      </c>
      <c r="H32" s="11">
        <v>8</v>
      </c>
      <c r="I32" s="11" t="s">
        <v>511</v>
      </c>
      <c r="J32" s="36">
        <v>46282</v>
      </c>
      <c r="K32" s="11" t="s">
        <v>149</v>
      </c>
      <c r="L32" s="11"/>
      <c r="M32" s="11"/>
      <c r="N32" s="11"/>
    </row>
    <row r="33" spans="6:11" ht="15.75" customHeight="1" x14ac:dyDescent="0.3">
      <c r="F33" s="29"/>
      <c r="G33" s="29"/>
      <c r="K33" s="29"/>
    </row>
    <row r="34" spans="6:11" ht="15.75" customHeight="1" x14ac:dyDescent="0.3"/>
    <row r="35" spans="6:11" ht="15.75" customHeight="1" x14ac:dyDescent="0.3"/>
    <row r="36" spans="6:11" ht="15.75" customHeight="1" x14ac:dyDescent="0.3"/>
    <row r="37" spans="6:11" ht="15.75" customHeight="1" x14ac:dyDescent="0.3"/>
    <row r="38" spans="6:11" ht="15.75" customHeight="1" x14ac:dyDescent="0.3"/>
    <row r="39" spans="6:11" ht="15.75" customHeight="1" x14ac:dyDescent="0.3"/>
    <row r="40" spans="6:11" ht="15.75" customHeight="1" x14ac:dyDescent="0.3"/>
    <row r="41" spans="6:11" ht="15.75" customHeight="1" x14ac:dyDescent="0.3"/>
    <row r="42" spans="6:11" ht="15.75" customHeight="1" x14ac:dyDescent="0.3"/>
    <row r="43" spans="6:11" ht="15.75" customHeight="1" x14ac:dyDescent="0.3"/>
    <row r="44" spans="6:11" ht="15.75" customHeight="1" x14ac:dyDescent="0.3"/>
    <row r="45" spans="6:11" ht="15.75" customHeight="1" x14ac:dyDescent="0.3"/>
    <row r="46" spans="6:11" ht="15.75" customHeight="1" x14ac:dyDescent="0.3"/>
    <row r="47" spans="6:11" ht="15.75" customHeight="1" x14ac:dyDescent="0.3"/>
    <row r="48" spans="6: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
    <mergeCell ref="A1:N1"/>
    <mergeCell ref="B5:N5"/>
    <mergeCell ref="A2:N2"/>
    <mergeCell ref="B11:N11"/>
    <mergeCell ref="B16:N16"/>
    <mergeCell ref="B20:N20"/>
  </mergeCells>
  <conditionalFormatting sqref="G6:G1000">
    <cfRule type="cellIs" dxfId="19" priority="5" operator="equal">
      <formula>"P0"</formula>
    </cfRule>
    <cfRule type="cellIs" dxfId="18" priority="6" operator="equal">
      <formula>"P1"</formula>
    </cfRule>
  </conditionalFormatting>
  <conditionalFormatting sqref="K6:K1000">
    <cfRule type="cellIs" dxfId="17" priority="1" operator="equal">
      <formula>"Hoàn thành"</formula>
    </cfRule>
    <cfRule type="cellIs" dxfId="16" priority="2" operator="equal">
      <formula>"Đang làm"</formula>
    </cfRule>
    <cfRule type="cellIs" dxfId="15" priority="3" operator="equal">
      <formula>"Bị kẹt"</formula>
    </cfRule>
    <cfRule type="cellIs" dxfId="14" priority="4" operator="equal">
      <formula>"Chưa bắt đầu"</formula>
    </cfRule>
  </conditionalFormatting>
  <dataValidations count="3">
    <dataValidation type="list" allowBlank="1" sqref="K6:K10 K12:K15 K17:K19 K21:K33" xr:uid="{00000000-0002-0000-0400-000000000000}">
      <formula1>"Chưa làm,Đang làm,Đang review,Kiểm thử,Hoàn thành,Bị kẹt,Không làm"</formula1>
    </dataValidation>
    <dataValidation type="list" allowBlank="1" sqref="F6:F10 F12:F15 F17:F19 F21:F33" xr:uid="{00000000-0002-0000-0400-000001000000}">
      <formula1>"Sprint 1,Sprint 2,Sprint 3,Sprint 4"</formula1>
    </dataValidation>
    <dataValidation type="list" allowBlank="1" sqref="G6:G10 G12:G15 G17:G19 G21:G33" xr:uid="{00000000-0002-0000-0400-000002000000}">
      <formula1>"P0,P1,P2,P3"</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I1000"/>
  <sheetViews>
    <sheetView workbookViewId="0">
      <pane ySplit="4" topLeftCell="A5" activePane="bottomLeft" state="frozen"/>
      <selection pane="bottomLeft" activeCell="B6" sqref="B6"/>
    </sheetView>
  </sheetViews>
  <sheetFormatPr defaultColWidth="14.44140625" defaultRowHeight="15" customHeight="1" x14ac:dyDescent="0.3"/>
  <cols>
    <col min="1" max="1" width="6" customWidth="1"/>
    <col min="2" max="2" width="28" customWidth="1"/>
    <col min="3" max="3" width="42" customWidth="1"/>
    <col min="4" max="4" width="8" customWidth="1"/>
    <col min="5" max="6" width="14" customWidth="1"/>
    <col min="7" max="7" width="24" customWidth="1"/>
    <col min="8" max="8" width="14" customWidth="1"/>
    <col min="9" max="9" width="35" customWidth="1"/>
  </cols>
  <sheetData>
    <row r="1" spans="1:9" ht="21" customHeight="1" x14ac:dyDescent="0.4">
      <c r="A1" s="49" t="s">
        <v>515</v>
      </c>
      <c r="B1" s="45"/>
      <c r="C1" s="45"/>
      <c r="D1" s="45"/>
      <c r="E1" s="45"/>
      <c r="F1" s="45"/>
      <c r="G1" s="45"/>
      <c r="H1" s="45"/>
      <c r="I1" s="45"/>
    </row>
    <row r="2" spans="1:9" ht="14.4" customHeight="1" x14ac:dyDescent="0.3">
      <c r="A2" s="46" t="s">
        <v>516</v>
      </c>
      <c r="B2" s="45"/>
      <c r="C2" s="45"/>
      <c r="D2" s="45"/>
      <c r="E2" s="45"/>
      <c r="F2" s="45"/>
      <c r="G2" s="45"/>
      <c r="H2" s="45"/>
      <c r="I2" s="45"/>
    </row>
    <row r="4" spans="1:9" ht="27.6" customHeight="1" x14ac:dyDescent="0.3">
      <c r="A4" s="1" t="s">
        <v>132</v>
      </c>
      <c r="B4" s="1" t="s">
        <v>517</v>
      </c>
      <c r="C4" s="1" t="s">
        <v>385</v>
      </c>
      <c r="D4" s="1" t="s">
        <v>518</v>
      </c>
      <c r="E4" s="1" t="s">
        <v>22</v>
      </c>
      <c r="F4" s="1" t="s">
        <v>23</v>
      </c>
      <c r="G4" s="1" t="s">
        <v>519</v>
      </c>
      <c r="H4" s="1" t="s">
        <v>27</v>
      </c>
      <c r="I4" s="1" t="s">
        <v>520</v>
      </c>
    </row>
    <row r="5" spans="1:9" ht="43.95" customHeight="1" x14ac:dyDescent="0.3">
      <c r="A5" s="8" t="s">
        <v>521</v>
      </c>
      <c r="B5" s="8" t="s">
        <v>522</v>
      </c>
      <c r="C5" s="8" t="s">
        <v>523</v>
      </c>
      <c r="D5" s="8" t="s">
        <v>524</v>
      </c>
      <c r="E5" s="35">
        <v>46255</v>
      </c>
      <c r="F5" s="35">
        <v>46259</v>
      </c>
      <c r="G5" s="8" t="s">
        <v>525</v>
      </c>
      <c r="H5" s="8" t="s">
        <v>398</v>
      </c>
      <c r="I5" s="8" t="s">
        <v>526</v>
      </c>
    </row>
    <row r="6" spans="1:9" ht="43.95" customHeight="1" x14ac:dyDescent="0.3">
      <c r="A6" s="12" t="s">
        <v>527</v>
      </c>
      <c r="B6" s="12" t="s">
        <v>528</v>
      </c>
      <c r="C6" s="12" t="s">
        <v>529</v>
      </c>
      <c r="D6" s="12" t="s">
        <v>524</v>
      </c>
      <c r="E6" s="37">
        <v>46259</v>
      </c>
      <c r="F6" s="37">
        <v>46261</v>
      </c>
      <c r="G6" s="12" t="s">
        <v>530</v>
      </c>
      <c r="H6" s="12" t="s">
        <v>26</v>
      </c>
      <c r="I6" s="12" t="s">
        <v>531</v>
      </c>
    </row>
    <row r="7" spans="1:9" ht="43.95" customHeight="1" x14ac:dyDescent="0.3">
      <c r="A7" s="8" t="s">
        <v>532</v>
      </c>
      <c r="B7" s="8" t="s">
        <v>533</v>
      </c>
      <c r="C7" s="8" t="s">
        <v>534</v>
      </c>
      <c r="D7" s="8" t="s">
        <v>535</v>
      </c>
      <c r="E7" s="35">
        <v>46262</v>
      </c>
      <c r="F7" s="35">
        <v>46268</v>
      </c>
      <c r="G7" s="8" t="s">
        <v>455</v>
      </c>
      <c r="H7" s="8" t="s">
        <v>32</v>
      </c>
      <c r="I7" s="8" t="s">
        <v>536</v>
      </c>
    </row>
    <row r="8" spans="1:9" ht="43.95" customHeight="1" x14ac:dyDescent="0.3">
      <c r="A8" s="12" t="s">
        <v>537</v>
      </c>
      <c r="B8" s="12" t="s">
        <v>538</v>
      </c>
      <c r="C8" s="12" t="s">
        <v>539</v>
      </c>
      <c r="D8" s="12" t="s">
        <v>535</v>
      </c>
      <c r="E8" s="37">
        <v>46262</v>
      </c>
      <c r="F8" s="37">
        <v>46268</v>
      </c>
      <c r="G8" s="12" t="s">
        <v>540</v>
      </c>
      <c r="H8" s="12" t="s">
        <v>32</v>
      </c>
      <c r="I8" s="12" t="s">
        <v>541</v>
      </c>
    </row>
    <row r="9" spans="1:9" ht="43.95" customHeight="1" x14ac:dyDescent="0.3">
      <c r="A9" s="8" t="s">
        <v>542</v>
      </c>
      <c r="B9" s="8" t="s">
        <v>543</v>
      </c>
      <c r="C9" s="8" t="s">
        <v>544</v>
      </c>
      <c r="D9" s="8" t="s">
        <v>545</v>
      </c>
      <c r="E9" s="35">
        <v>46269</v>
      </c>
      <c r="F9" s="35">
        <v>46273</v>
      </c>
      <c r="G9" s="8" t="s">
        <v>546</v>
      </c>
      <c r="H9" s="8" t="s">
        <v>32</v>
      </c>
      <c r="I9" s="8" t="s">
        <v>547</v>
      </c>
    </row>
    <row r="10" spans="1:9" ht="43.95" customHeight="1" x14ac:dyDescent="0.3">
      <c r="A10" s="12" t="s">
        <v>548</v>
      </c>
      <c r="B10" s="12" t="s">
        <v>549</v>
      </c>
      <c r="C10" s="12" t="s">
        <v>550</v>
      </c>
      <c r="D10" s="12" t="s">
        <v>545</v>
      </c>
      <c r="E10" s="37">
        <v>46269</v>
      </c>
      <c r="F10" s="37">
        <v>46275</v>
      </c>
      <c r="G10" s="12" t="s">
        <v>455</v>
      </c>
      <c r="H10" s="12" t="s">
        <v>32</v>
      </c>
      <c r="I10" s="12" t="s">
        <v>551</v>
      </c>
    </row>
    <row r="11" spans="1:9" ht="43.95" customHeight="1" x14ac:dyDescent="0.3">
      <c r="A11" s="8" t="s">
        <v>552</v>
      </c>
      <c r="B11" s="8" t="s">
        <v>553</v>
      </c>
      <c r="C11" s="8" t="s">
        <v>554</v>
      </c>
      <c r="D11" s="8" t="s">
        <v>555</v>
      </c>
      <c r="E11" s="35">
        <v>46276</v>
      </c>
      <c r="F11" s="35">
        <v>46281</v>
      </c>
      <c r="G11" s="8" t="s">
        <v>556</v>
      </c>
      <c r="H11" s="8" t="s">
        <v>32</v>
      </c>
      <c r="I11" s="8" t="s">
        <v>557</v>
      </c>
    </row>
    <row r="12" spans="1:9" ht="43.95" customHeight="1" x14ac:dyDescent="0.3">
      <c r="A12" s="12" t="s">
        <v>558</v>
      </c>
      <c r="B12" s="12" t="s">
        <v>559</v>
      </c>
      <c r="C12" s="12" t="s">
        <v>560</v>
      </c>
      <c r="D12" s="12" t="s">
        <v>555</v>
      </c>
      <c r="E12" s="37">
        <v>46282</v>
      </c>
      <c r="F12" s="37">
        <v>46282</v>
      </c>
      <c r="G12" s="12" t="s">
        <v>511</v>
      </c>
      <c r="H12" s="12" t="s">
        <v>32</v>
      </c>
      <c r="I12" s="12" t="s">
        <v>561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1:I1"/>
    <mergeCell ref="A2:I2"/>
  </mergeCells>
  <conditionalFormatting sqref="H5:H12">
    <cfRule type="cellIs" dxfId="13" priority="1" operator="equal">
      <formula>"Hoàn thành"</formula>
    </cfRule>
    <cfRule type="cellIs" dxfId="12" priority="2" operator="equal">
      <formula>"Đang làm"</formula>
    </cfRule>
    <cfRule type="cellIs" dxfId="11" priority="3" operator="equal">
      <formula>"Bị kẹt"</formula>
    </cfRule>
    <cfRule type="cellIs" dxfId="10" priority="4" operator="equal">
      <formula>"Chưa bắt đầu"</formula>
    </cfRule>
  </conditionalFormatting>
  <dataValidations count="1">
    <dataValidation type="list" allowBlank="1" sqref="H5:H12" xr:uid="{00000000-0002-0000-0500-000000000000}">
      <formula1>"Chưa bắt đầu,Đang làm,Hoàn thành,Bị trễ,Bỏ qua"</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F1000"/>
  <sheetViews>
    <sheetView workbookViewId="0">
      <pane ySplit="3" topLeftCell="A4" activePane="bottomLeft" state="frozen"/>
      <selection pane="bottomLeft" activeCell="B5" sqref="B5"/>
    </sheetView>
  </sheetViews>
  <sheetFormatPr defaultColWidth="14.44140625" defaultRowHeight="15" customHeight="1" x14ac:dyDescent="0.3"/>
  <cols>
    <col min="1" max="1" width="28" customWidth="1"/>
    <col min="2" max="2" width="32" customWidth="1"/>
    <col min="3" max="6" width="15" customWidth="1"/>
  </cols>
  <sheetData>
    <row r="1" spans="1:6" ht="21" customHeight="1" x14ac:dyDescent="0.4">
      <c r="A1" s="49" t="s">
        <v>562</v>
      </c>
      <c r="B1" s="45"/>
      <c r="C1" s="45"/>
      <c r="D1" s="45"/>
      <c r="E1" s="45"/>
      <c r="F1" s="45"/>
    </row>
    <row r="2" spans="1:6" ht="14.4" customHeight="1" x14ac:dyDescent="0.3">
      <c r="A2" s="46" t="s">
        <v>563</v>
      </c>
      <c r="B2" s="45"/>
      <c r="C2" s="45"/>
      <c r="D2" s="45"/>
      <c r="E2" s="45"/>
      <c r="F2" s="45"/>
    </row>
    <row r="4" spans="1:6" ht="16.8" customHeight="1" x14ac:dyDescent="0.3">
      <c r="A4" s="55" t="s">
        <v>564</v>
      </c>
      <c r="B4" s="39"/>
      <c r="C4" s="39"/>
      <c r="D4" s="39"/>
      <c r="E4" s="39"/>
      <c r="F4" s="40"/>
    </row>
    <row r="5" spans="1:6" ht="14.4" customHeight="1" x14ac:dyDescent="0.3">
      <c r="A5" s="13" t="s">
        <v>565</v>
      </c>
      <c r="B5" s="54" t="s">
        <v>437</v>
      </c>
      <c r="C5" s="39"/>
      <c r="D5" s="39"/>
      <c r="E5" s="39"/>
      <c r="F5" s="40"/>
    </row>
    <row r="6" spans="1:6" ht="14.4" customHeight="1" x14ac:dyDescent="0.3">
      <c r="A6" s="13" t="s">
        <v>566</v>
      </c>
      <c r="B6" s="54" t="s">
        <v>567</v>
      </c>
      <c r="C6" s="39"/>
      <c r="D6" s="39"/>
      <c r="E6" s="39"/>
      <c r="F6" s="40"/>
    </row>
    <row r="7" spans="1:6" ht="14.4" customHeight="1" x14ac:dyDescent="0.3">
      <c r="A7" s="13" t="s">
        <v>568</v>
      </c>
      <c r="B7" s="54" t="s">
        <v>569</v>
      </c>
      <c r="C7" s="39"/>
      <c r="D7" s="39"/>
      <c r="E7" s="39"/>
      <c r="F7" s="40"/>
    </row>
    <row r="8" spans="1:6" ht="14.4" customHeight="1" x14ac:dyDescent="0.3">
      <c r="A8" s="13" t="s">
        <v>570</v>
      </c>
      <c r="B8" s="54" t="s">
        <v>571</v>
      </c>
      <c r="C8" s="39"/>
      <c r="D8" s="39"/>
      <c r="E8" s="39"/>
      <c r="F8" s="40"/>
    </row>
    <row r="9" spans="1:6" ht="14.4" customHeight="1" x14ac:dyDescent="0.3">
      <c r="A9" s="13" t="s">
        <v>572</v>
      </c>
      <c r="B9" s="54" t="s">
        <v>573</v>
      </c>
      <c r="C9" s="39"/>
      <c r="D9" s="39"/>
      <c r="E9" s="39"/>
      <c r="F9" s="40"/>
    </row>
    <row r="10" spans="1:6" ht="14.4" customHeight="1" x14ac:dyDescent="0.3">
      <c r="A10" s="13" t="s">
        <v>27</v>
      </c>
      <c r="B10" s="57" t="s">
        <v>156</v>
      </c>
      <c r="C10" s="39"/>
      <c r="D10" s="39"/>
      <c r="E10" s="39"/>
      <c r="F10" s="40"/>
    </row>
    <row r="12" spans="1:6" ht="14.4" customHeight="1" x14ac:dyDescent="0.3">
      <c r="A12" s="56" t="s">
        <v>574</v>
      </c>
      <c r="B12" s="39"/>
      <c r="C12" s="39"/>
      <c r="D12" s="39"/>
      <c r="E12" s="39"/>
      <c r="F12" s="40"/>
    </row>
    <row r="13" spans="1:6" ht="45" customHeight="1" x14ac:dyDescent="0.3">
      <c r="A13" s="13" t="s">
        <v>575</v>
      </c>
      <c r="B13" s="54" t="s">
        <v>576</v>
      </c>
      <c r="C13" s="39"/>
      <c r="D13" s="39"/>
      <c r="E13" s="39"/>
      <c r="F13" s="40"/>
    </row>
    <row r="14" spans="1:6" ht="45" customHeight="1" x14ac:dyDescent="0.3">
      <c r="A14" s="13" t="s">
        <v>577</v>
      </c>
      <c r="B14" s="54" t="s">
        <v>578</v>
      </c>
      <c r="C14" s="39"/>
      <c r="D14" s="39"/>
      <c r="E14" s="39"/>
      <c r="F14" s="40"/>
    </row>
    <row r="15" spans="1:6" ht="45" customHeight="1" x14ac:dyDescent="0.3">
      <c r="A15" s="13" t="s">
        <v>579</v>
      </c>
      <c r="B15" s="54" t="s">
        <v>580</v>
      </c>
      <c r="C15" s="39"/>
      <c r="D15" s="39"/>
      <c r="E15" s="39"/>
      <c r="F15" s="40"/>
    </row>
    <row r="16" spans="1:6" ht="45" customHeight="1" x14ac:dyDescent="0.3">
      <c r="A16" s="13" t="s">
        <v>581</v>
      </c>
      <c r="B16" s="54" t="s">
        <v>582</v>
      </c>
      <c r="C16" s="39"/>
      <c r="D16" s="39"/>
      <c r="E16" s="39"/>
      <c r="F16" s="40"/>
    </row>
    <row r="17" spans="1:6" ht="14.4" customHeight="1" x14ac:dyDescent="0.3">
      <c r="A17" s="56" t="s">
        <v>583</v>
      </c>
      <c r="B17" s="39"/>
      <c r="C17" s="39"/>
      <c r="D17" s="39"/>
      <c r="E17" s="39"/>
      <c r="F17" s="40"/>
    </row>
    <row r="18" spans="1:6" ht="45" customHeight="1" x14ac:dyDescent="0.3">
      <c r="A18" s="13" t="s">
        <v>584</v>
      </c>
      <c r="B18" s="54" t="s">
        <v>585</v>
      </c>
      <c r="C18" s="39"/>
      <c r="D18" s="39"/>
      <c r="E18" s="39"/>
      <c r="F18" s="40"/>
    </row>
    <row r="19" spans="1:6" ht="45" customHeight="1" x14ac:dyDescent="0.3">
      <c r="A19" s="13" t="s">
        <v>586</v>
      </c>
      <c r="B19" s="54" t="s">
        <v>587</v>
      </c>
      <c r="C19" s="39"/>
      <c r="D19" s="39"/>
      <c r="E19" s="39"/>
      <c r="F19" s="40"/>
    </row>
    <row r="20" spans="1:6" ht="45" customHeight="1" x14ac:dyDescent="0.3">
      <c r="A20" s="13" t="s">
        <v>588</v>
      </c>
      <c r="B20" s="54" t="s">
        <v>589</v>
      </c>
      <c r="C20" s="39"/>
      <c r="D20" s="39"/>
      <c r="E20" s="39"/>
      <c r="F20" s="40"/>
    </row>
    <row r="21" spans="1:6" ht="45" customHeight="1" x14ac:dyDescent="0.3">
      <c r="A21" s="13" t="s">
        <v>590</v>
      </c>
      <c r="B21" s="54" t="s">
        <v>591</v>
      </c>
      <c r="C21" s="39"/>
      <c r="D21" s="39"/>
      <c r="E21" s="39"/>
      <c r="F21" s="40"/>
    </row>
    <row r="22" spans="1:6" ht="45" customHeight="1" x14ac:dyDescent="0.3">
      <c r="A22" s="13" t="s">
        <v>592</v>
      </c>
      <c r="B22" s="54" t="s">
        <v>593</v>
      </c>
      <c r="C22" s="39"/>
      <c r="D22" s="39"/>
      <c r="E22" s="39"/>
      <c r="F22" s="40"/>
    </row>
    <row r="23" spans="1:6" ht="45" customHeight="1" x14ac:dyDescent="0.3">
      <c r="A23" s="13" t="s">
        <v>594</v>
      </c>
      <c r="B23" s="54" t="s">
        <v>595</v>
      </c>
      <c r="C23" s="39"/>
      <c r="D23" s="39"/>
      <c r="E23" s="39"/>
      <c r="F23" s="40"/>
    </row>
    <row r="24" spans="1:6" ht="45" customHeight="1" x14ac:dyDescent="0.3">
      <c r="A24" s="13" t="s">
        <v>596</v>
      </c>
      <c r="B24" s="54" t="s">
        <v>597</v>
      </c>
      <c r="C24" s="39"/>
      <c r="D24" s="39"/>
      <c r="E24" s="39"/>
      <c r="F24" s="40"/>
    </row>
    <row r="25" spans="1:6" ht="15.75" customHeight="1" x14ac:dyDescent="0.3">
      <c r="A25" s="56" t="s">
        <v>598</v>
      </c>
      <c r="B25" s="39"/>
      <c r="C25" s="39"/>
      <c r="D25" s="39"/>
      <c r="E25" s="39"/>
      <c r="F25" s="40"/>
    </row>
    <row r="26" spans="1:6" ht="45" customHeight="1" x14ac:dyDescent="0.3">
      <c r="A26" s="13" t="s">
        <v>599</v>
      </c>
      <c r="B26" s="54" t="s">
        <v>600</v>
      </c>
      <c r="C26" s="39"/>
      <c r="D26" s="39"/>
      <c r="E26" s="39"/>
      <c r="F26" s="40"/>
    </row>
    <row r="27" spans="1:6" ht="45" customHeight="1" x14ac:dyDescent="0.3">
      <c r="A27" s="13" t="s">
        <v>601</v>
      </c>
      <c r="B27" s="54" t="s">
        <v>602</v>
      </c>
      <c r="C27" s="39"/>
      <c r="D27" s="39"/>
      <c r="E27" s="39"/>
      <c r="F27" s="40"/>
    </row>
    <row r="28" spans="1:6" ht="45" customHeight="1" x14ac:dyDescent="0.3">
      <c r="A28" s="13" t="s">
        <v>603</v>
      </c>
      <c r="B28" s="54" t="s">
        <v>604</v>
      </c>
      <c r="C28" s="39"/>
      <c r="D28" s="39"/>
      <c r="E28" s="39"/>
      <c r="F28" s="40"/>
    </row>
    <row r="29" spans="1:6" ht="45" customHeight="1" x14ac:dyDescent="0.3">
      <c r="A29" s="13" t="s">
        <v>605</v>
      </c>
      <c r="B29" s="54" t="s">
        <v>606</v>
      </c>
      <c r="C29" s="39"/>
      <c r="D29" s="39"/>
      <c r="E29" s="39"/>
      <c r="F29" s="40"/>
    </row>
    <row r="30" spans="1:6" ht="45" customHeight="1" x14ac:dyDescent="0.3">
      <c r="A30" s="13" t="s">
        <v>607</v>
      </c>
      <c r="B30" s="54" t="s">
        <v>608</v>
      </c>
      <c r="C30" s="39"/>
      <c r="D30" s="39"/>
      <c r="E30" s="39"/>
      <c r="F30" s="40"/>
    </row>
    <row r="31" spans="1:6" ht="45" customHeight="1" x14ac:dyDescent="0.3">
      <c r="A31" s="13" t="s">
        <v>609</v>
      </c>
      <c r="B31" s="54" t="s">
        <v>610</v>
      </c>
      <c r="C31" s="39"/>
      <c r="D31" s="39"/>
      <c r="E31" s="39"/>
      <c r="F31" s="40"/>
    </row>
    <row r="32" spans="1:6" ht="45" customHeight="1" x14ac:dyDescent="0.3">
      <c r="A32" s="13" t="s">
        <v>611</v>
      </c>
      <c r="B32" s="54" t="s">
        <v>612</v>
      </c>
      <c r="C32" s="39"/>
      <c r="D32" s="39"/>
      <c r="E32" s="39"/>
      <c r="F32" s="40"/>
    </row>
    <row r="33" spans="1:6" ht="45" customHeight="1" x14ac:dyDescent="0.3">
      <c r="A33" s="13" t="s">
        <v>613</v>
      </c>
      <c r="B33" s="54" t="s">
        <v>614</v>
      </c>
      <c r="C33" s="39"/>
      <c r="D33" s="39"/>
      <c r="E33" s="39"/>
      <c r="F33" s="40"/>
    </row>
    <row r="34" spans="1:6" ht="15.75" customHeight="1" x14ac:dyDescent="0.3"/>
    <row r="35" spans="1:6" ht="15.75" customHeight="1" x14ac:dyDescent="0.3">
      <c r="A35" s="34" t="s">
        <v>615</v>
      </c>
    </row>
    <row r="36" spans="1:6" ht="15.75" customHeight="1" x14ac:dyDescent="0.3"/>
    <row r="37" spans="1:6" ht="15.75" customHeight="1" x14ac:dyDescent="0.3">
      <c r="A37" s="55" t="s">
        <v>616</v>
      </c>
      <c r="B37" s="39"/>
      <c r="C37" s="39"/>
      <c r="D37" s="39"/>
      <c r="E37" s="39"/>
      <c r="F37" s="40"/>
    </row>
    <row r="38" spans="1:6" ht="15.75" customHeight="1" x14ac:dyDescent="0.3">
      <c r="A38" s="13" t="s">
        <v>565</v>
      </c>
      <c r="B38" s="54" t="s">
        <v>617</v>
      </c>
      <c r="C38" s="39"/>
      <c r="D38" s="39"/>
      <c r="E38" s="39"/>
      <c r="F38" s="40"/>
    </row>
    <row r="39" spans="1:6" ht="15.75" customHeight="1" x14ac:dyDescent="0.3">
      <c r="A39" s="13" t="s">
        <v>566</v>
      </c>
      <c r="B39" s="54" t="s">
        <v>618</v>
      </c>
      <c r="C39" s="39"/>
      <c r="D39" s="39"/>
      <c r="E39" s="39"/>
      <c r="F39" s="40"/>
    </row>
    <row r="40" spans="1:6" ht="15.75" customHeight="1" x14ac:dyDescent="0.3">
      <c r="A40" s="13" t="s">
        <v>568</v>
      </c>
      <c r="B40" s="54" t="s">
        <v>619</v>
      </c>
      <c r="C40" s="39"/>
      <c r="D40" s="39"/>
      <c r="E40" s="39"/>
      <c r="F40" s="40"/>
    </row>
    <row r="41" spans="1:6" ht="15.75" customHeight="1" x14ac:dyDescent="0.3">
      <c r="A41" s="13" t="s">
        <v>570</v>
      </c>
      <c r="B41" s="54" t="s">
        <v>573</v>
      </c>
      <c r="C41" s="39"/>
      <c r="D41" s="39"/>
      <c r="E41" s="39"/>
      <c r="F41" s="40"/>
    </row>
    <row r="42" spans="1:6" ht="15.75" customHeight="1" x14ac:dyDescent="0.3">
      <c r="A42" s="13" t="s">
        <v>572</v>
      </c>
      <c r="B42" s="54" t="s">
        <v>573</v>
      </c>
      <c r="C42" s="39"/>
      <c r="D42" s="39"/>
      <c r="E42" s="39"/>
      <c r="F42" s="40"/>
    </row>
    <row r="43" spans="1:6" ht="15.75" customHeight="1" x14ac:dyDescent="0.3">
      <c r="A43" s="13" t="s">
        <v>27</v>
      </c>
      <c r="B43" s="57" t="s">
        <v>620</v>
      </c>
      <c r="C43" s="39"/>
      <c r="D43" s="39"/>
      <c r="E43" s="39"/>
      <c r="F43" s="40"/>
    </row>
    <row r="44" spans="1:6" ht="15.75" customHeight="1" x14ac:dyDescent="0.3"/>
    <row r="45" spans="1:6" ht="15.75" customHeight="1" x14ac:dyDescent="0.3">
      <c r="A45" s="56" t="s">
        <v>574</v>
      </c>
      <c r="B45" s="39"/>
      <c r="C45" s="39"/>
      <c r="D45" s="39"/>
      <c r="E45" s="39"/>
      <c r="F45" s="40"/>
    </row>
    <row r="46" spans="1:6" ht="45" customHeight="1" x14ac:dyDescent="0.3">
      <c r="A46" s="13" t="s">
        <v>575</v>
      </c>
      <c r="B46" s="54" t="s">
        <v>621</v>
      </c>
      <c r="C46" s="39"/>
      <c r="D46" s="39"/>
      <c r="E46" s="39"/>
      <c r="F46" s="40"/>
    </row>
    <row r="47" spans="1:6" ht="45" customHeight="1" x14ac:dyDescent="0.3">
      <c r="A47" s="13" t="s">
        <v>577</v>
      </c>
      <c r="B47" s="54" t="s">
        <v>622</v>
      </c>
      <c r="C47" s="39"/>
      <c r="D47" s="39"/>
      <c r="E47" s="39"/>
      <c r="F47" s="40"/>
    </row>
    <row r="48" spans="1:6" ht="45" customHeight="1" x14ac:dyDescent="0.3">
      <c r="A48" s="13" t="s">
        <v>579</v>
      </c>
      <c r="B48" s="54" t="s">
        <v>623</v>
      </c>
      <c r="C48" s="39"/>
      <c r="D48" s="39"/>
      <c r="E48" s="39"/>
      <c r="F48" s="40"/>
    </row>
    <row r="49" spans="1:6" ht="45" customHeight="1" x14ac:dyDescent="0.3">
      <c r="A49" s="13" t="s">
        <v>581</v>
      </c>
      <c r="B49" s="54" t="s">
        <v>624</v>
      </c>
      <c r="C49" s="39"/>
      <c r="D49" s="39"/>
      <c r="E49" s="39"/>
      <c r="F49" s="40"/>
    </row>
    <row r="50" spans="1:6" ht="15.75" customHeight="1" x14ac:dyDescent="0.3">
      <c r="A50" s="56" t="s">
        <v>583</v>
      </c>
      <c r="B50" s="39"/>
      <c r="C50" s="39"/>
      <c r="D50" s="39"/>
      <c r="E50" s="39"/>
      <c r="F50" s="40"/>
    </row>
    <row r="51" spans="1:6" ht="45" customHeight="1" x14ac:dyDescent="0.3">
      <c r="A51" s="13" t="s">
        <v>584</v>
      </c>
      <c r="B51" s="54" t="s">
        <v>625</v>
      </c>
      <c r="C51" s="39"/>
      <c r="D51" s="39"/>
      <c r="E51" s="39"/>
      <c r="F51" s="40"/>
    </row>
    <row r="52" spans="1:6" ht="45" customHeight="1" x14ac:dyDescent="0.3">
      <c r="A52" s="13" t="s">
        <v>586</v>
      </c>
      <c r="B52" s="54" t="s">
        <v>626</v>
      </c>
      <c r="C52" s="39"/>
      <c r="D52" s="39"/>
      <c r="E52" s="39"/>
      <c r="F52" s="40"/>
    </row>
    <row r="53" spans="1:6" ht="45" customHeight="1" x14ac:dyDescent="0.3">
      <c r="A53" s="13" t="s">
        <v>588</v>
      </c>
      <c r="B53" s="54" t="s">
        <v>627</v>
      </c>
      <c r="C53" s="39"/>
      <c r="D53" s="39"/>
      <c r="E53" s="39"/>
      <c r="F53" s="40"/>
    </row>
    <row r="54" spans="1:6" ht="45" customHeight="1" x14ac:dyDescent="0.3">
      <c r="A54" s="13" t="s">
        <v>590</v>
      </c>
      <c r="B54" s="54" t="s">
        <v>628</v>
      </c>
      <c r="C54" s="39"/>
      <c r="D54" s="39"/>
      <c r="E54" s="39"/>
      <c r="F54" s="40"/>
    </row>
    <row r="55" spans="1:6" ht="45" customHeight="1" x14ac:dyDescent="0.3">
      <c r="A55" s="13" t="s">
        <v>592</v>
      </c>
      <c r="B55" s="54" t="s">
        <v>629</v>
      </c>
      <c r="C55" s="39"/>
      <c r="D55" s="39"/>
      <c r="E55" s="39"/>
      <c r="F55" s="40"/>
    </row>
    <row r="56" spans="1:6" ht="45" customHeight="1" x14ac:dyDescent="0.3">
      <c r="A56" s="13" t="s">
        <v>594</v>
      </c>
      <c r="B56" s="54" t="s">
        <v>630</v>
      </c>
      <c r="C56" s="39"/>
      <c r="D56" s="39"/>
      <c r="E56" s="39"/>
      <c r="F56" s="40"/>
    </row>
    <row r="57" spans="1:6" ht="45" customHeight="1" x14ac:dyDescent="0.3">
      <c r="A57" s="13" t="s">
        <v>596</v>
      </c>
      <c r="B57" s="54" t="s">
        <v>631</v>
      </c>
      <c r="C57" s="39"/>
      <c r="D57" s="39"/>
      <c r="E57" s="39"/>
      <c r="F57" s="40"/>
    </row>
    <row r="58" spans="1:6" ht="15.75" customHeight="1" x14ac:dyDescent="0.3">
      <c r="A58" s="56" t="s">
        <v>598</v>
      </c>
      <c r="B58" s="39"/>
      <c r="C58" s="39"/>
      <c r="D58" s="39"/>
      <c r="E58" s="39"/>
      <c r="F58" s="40"/>
    </row>
    <row r="59" spans="1:6" ht="45" customHeight="1" x14ac:dyDescent="0.3">
      <c r="A59" s="13" t="s">
        <v>599</v>
      </c>
      <c r="B59" s="54" t="s">
        <v>632</v>
      </c>
      <c r="C59" s="39"/>
      <c r="D59" s="39"/>
      <c r="E59" s="39"/>
      <c r="F59" s="40"/>
    </row>
    <row r="60" spans="1:6" ht="45" customHeight="1" x14ac:dyDescent="0.3">
      <c r="A60" s="13" t="s">
        <v>601</v>
      </c>
      <c r="B60" s="54" t="s">
        <v>633</v>
      </c>
      <c r="C60" s="39"/>
      <c r="D60" s="39"/>
      <c r="E60" s="39"/>
      <c r="F60" s="40"/>
    </row>
    <row r="61" spans="1:6" ht="45" customHeight="1" x14ac:dyDescent="0.3">
      <c r="A61" s="13" t="s">
        <v>603</v>
      </c>
      <c r="B61" s="54" t="s">
        <v>634</v>
      </c>
      <c r="C61" s="39"/>
      <c r="D61" s="39"/>
      <c r="E61" s="39"/>
      <c r="F61" s="40"/>
    </row>
    <row r="62" spans="1:6" ht="45" customHeight="1" x14ac:dyDescent="0.3">
      <c r="A62" s="13" t="s">
        <v>605</v>
      </c>
      <c r="B62" s="54" t="s">
        <v>635</v>
      </c>
      <c r="C62" s="39"/>
      <c r="D62" s="39"/>
      <c r="E62" s="39"/>
      <c r="F62" s="40"/>
    </row>
    <row r="63" spans="1:6" ht="45" customHeight="1" x14ac:dyDescent="0.3">
      <c r="A63" s="13" t="s">
        <v>607</v>
      </c>
      <c r="B63" s="54" t="s">
        <v>636</v>
      </c>
      <c r="C63" s="39"/>
      <c r="D63" s="39"/>
      <c r="E63" s="39"/>
      <c r="F63" s="40"/>
    </row>
    <row r="64" spans="1:6" ht="45" customHeight="1" x14ac:dyDescent="0.3">
      <c r="A64" s="13" t="s">
        <v>609</v>
      </c>
      <c r="B64" s="54" t="s">
        <v>637</v>
      </c>
      <c r="C64" s="39"/>
      <c r="D64" s="39"/>
      <c r="E64" s="39"/>
      <c r="F64" s="40"/>
    </row>
    <row r="65" spans="1:6" ht="45" customHeight="1" x14ac:dyDescent="0.3">
      <c r="A65" s="13" t="s">
        <v>611</v>
      </c>
      <c r="B65" s="54" t="s">
        <v>638</v>
      </c>
      <c r="C65" s="39"/>
      <c r="D65" s="39"/>
      <c r="E65" s="39"/>
      <c r="F65" s="40"/>
    </row>
    <row r="66" spans="1:6" ht="45" customHeight="1" x14ac:dyDescent="0.3">
      <c r="A66" s="13" t="s">
        <v>613</v>
      </c>
      <c r="B66" s="54" t="s">
        <v>639</v>
      </c>
      <c r="C66" s="39"/>
      <c r="D66" s="39"/>
      <c r="E66" s="39"/>
      <c r="F66" s="40"/>
    </row>
    <row r="67" spans="1:6" ht="15.75" customHeight="1" x14ac:dyDescent="0.3"/>
    <row r="68" spans="1:6" ht="15.75" customHeight="1" x14ac:dyDescent="0.3"/>
    <row r="69" spans="1:6" ht="15.75" customHeight="1" x14ac:dyDescent="0.3"/>
    <row r="70" spans="1:6" ht="15.75" customHeight="1" x14ac:dyDescent="0.3"/>
    <row r="71" spans="1:6" ht="15.75" customHeight="1" x14ac:dyDescent="0.3"/>
    <row r="72" spans="1:6" ht="15.75" customHeight="1" x14ac:dyDescent="0.3"/>
    <row r="73" spans="1:6" ht="15.75" customHeight="1" x14ac:dyDescent="0.3"/>
    <row r="74" spans="1:6" ht="15.75" customHeight="1" x14ac:dyDescent="0.3"/>
    <row r="75" spans="1:6" ht="15.75" customHeight="1" x14ac:dyDescent="0.3"/>
    <row r="76" spans="1:6" ht="15.75" customHeight="1" x14ac:dyDescent="0.3"/>
    <row r="77" spans="1:6" ht="15.75" customHeight="1" x14ac:dyDescent="0.3"/>
    <row r="78" spans="1:6" ht="15.75" customHeight="1" x14ac:dyDescent="0.3"/>
    <row r="79" spans="1:6" ht="15.75" customHeight="1" x14ac:dyDescent="0.3"/>
    <row r="80" spans="1: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0">
    <mergeCell ref="A1:F1"/>
    <mergeCell ref="B15:F15"/>
    <mergeCell ref="A45:F45"/>
    <mergeCell ref="B51:F51"/>
    <mergeCell ref="B5:F5"/>
    <mergeCell ref="B32:F32"/>
    <mergeCell ref="B26:F26"/>
    <mergeCell ref="B41:F41"/>
    <mergeCell ref="A25:F25"/>
    <mergeCell ref="B65:F65"/>
    <mergeCell ref="B30:F30"/>
    <mergeCell ref="B55:F55"/>
    <mergeCell ref="B6:F6"/>
    <mergeCell ref="B24:F24"/>
    <mergeCell ref="B64:F64"/>
    <mergeCell ref="B20:F20"/>
    <mergeCell ref="B33:F33"/>
    <mergeCell ref="B63:F63"/>
    <mergeCell ref="A2:F2"/>
    <mergeCell ref="B43:F43"/>
    <mergeCell ref="B39:F39"/>
    <mergeCell ref="B48:F48"/>
    <mergeCell ref="B42:F42"/>
    <mergeCell ref="A17:F17"/>
    <mergeCell ref="B23:F23"/>
    <mergeCell ref="A4:F4"/>
    <mergeCell ref="B8:F8"/>
    <mergeCell ref="B14:F14"/>
    <mergeCell ref="B13:F13"/>
    <mergeCell ref="B29:F29"/>
    <mergeCell ref="B38:F38"/>
    <mergeCell ref="B10:F10"/>
    <mergeCell ref="B28:F28"/>
    <mergeCell ref="B19:F19"/>
    <mergeCell ref="B66:F66"/>
    <mergeCell ref="B31:F31"/>
    <mergeCell ref="B46:F46"/>
    <mergeCell ref="A50:F50"/>
    <mergeCell ref="A12:F12"/>
    <mergeCell ref="B22:F22"/>
    <mergeCell ref="B18:F18"/>
    <mergeCell ref="B56:F56"/>
    <mergeCell ref="B27:F27"/>
    <mergeCell ref="B52:F52"/>
    <mergeCell ref="B21:F21"/>
    <mergeCell ref="B60:F60"/>
    <mergeCell ref="B61:F61"/>
    <mergeCell ref="B57:F57"/>
    <mergeCell ref="B53:F53"/>
    <mergeCell ref="A58:F58"/>
    <mergeCell ref="B7:F7"/>
    <mergeCell ref="B47:F47"/>
    <mergeCell ref="B54:F54"/>
    <mergeCell ref="B62:F62"/>
    <mergeCell ref="B16:F16"/>
    <mergeCell ref="A37:F37"/>
    <mergeCell ref="B59:F59"/>
    <mergeCell ref="B40:F40"/>
    <mergeCell ref="B9:F9"/>
    <mergeCell ref="B49:F49"/>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L1000"/>
  <sheetViews>
    <sheetView workbookViewId="0">
      <pane ySplit="4" topLeftCell="A5" activePane="bottomLeft" state="frozen"/>
      <selection pane="bottomLeft" activeCell="B6" sqref="B6"/>
    </sheetView>
  </sheetViews>
  <sheetFormatPr defaultColWidth="14.44140625" defaultRowHeight="15" customHeight="1" x14ac:dyDescent="0.3"/>
  <cols>
    <col min="1" max="1" width="5" customWidth="1"/>
    <col min="2" max="2" width="12" customWidth="1"/>
    <col min="3" max="3" width="24" customWidth="1"/>
    <col min="4" max="4" width="30" customWidth="1"/>
    <col min="5" max="5" width="25" customWidth="1"/>
    <col min="6" max="6" width="16" customWidth="1"/>
    <col min="7" max="7" width="10" customWidth="1"/>
    <col min="8" max="8" width="14" customWidth="1"/>
    <col min="9" max="9" width="18" customWidth="1"/>
    <col min="10" max="10" width="14" customWidth="1"/>
    <col min="11" max="11" width="12" customWidth="1"/>
    <col min="12" max="12" width="25" customWidth="1"/>
  </cols>
  <sheetData>
    <row r="1" spans="1:12" ht="21" customHeight="1" x14ac:dyDescent="0.4">
      <c r="A1" s="49" t="s">
        <v>640</v>
      </c>
      <c r="B1" s="45"/>
      <c r="C1" s="45"/>
      <c r="D1" s="45"/>
      <c r="E1" s="45"/>
      <c r="F1" s="45"/>
      <c r="G1" s="45"/>
      <c r="H1" s="45"/>
      <c r="I1" s="45"/>
      <c r="J1" s="45"/>
      <c r="K1" s="45"/>
      <c r="L1" s="45"/>
    </row>
    <row r="2" spans="1:12" ht="14.4" customHeight="1" x14ac:dyDescent="0.3">
      <c r="A2" s="46" t="s">
        <v>641</v>
      </c>
      <c r="B2" s="45"/>
      <c r="C2" s="45"/>
      <c r="D2" s="45"/>
      <c r="E2" s="45"/>
      <c r="F2" s="45"/>
      <c r="G2" s="45"/>
      <c r="H2" s="45"/>
      <c r="I2" s="45"/>
      <c r="J2" s="45"/>
      <c r="K2" s="45"/>
      <c r="L2" s="45"/>
    </row>
    <row r="4" spans="1:12" ht="27.6" customHeight="1" x14ac:dyDescent="0.3">
      <c r="A4" s="1" t="s">
        <v>51</v>
      </c>
      <c r="B4" s="1" t="s">
        <v>642</v>
      </c>
      <c r="C4" s="1" t="s">
        <v>643</v>
      </c>
      <c r="D4" s="1" t="s">
        <v>385</v>
      </c>
      <c r="E4" s="1" t="s">
        <v>644</v>
      </c>
      <c r="F4" s="1" t="s">
        <v>645</v>
      </c>
      <c r="G4" s="1" t="s">
        <v>386</v>
      </c>
      <c r="H4" s="1" t="s">
        <v>384</v>
      </c>
      <c r="I4" s="1" t="s">
        <v>646</v>
      </c>
      <c r="J4" s="1" t="s">
        <v>647</v>
      </c>
      <c r="K4" s="1" t="s">
        <v>27</v>
      </c>
      <c r="L4" s="1" t="s">
        <v>648</v>
      </c>
    </row>
    <row r="5" spans="1:12" ht="52.05" customHeight="1" x14ac:dyDescent="0.3">
      <c r="A5" s="8">
        <v>0</v>
      </c>
      <c r="B5" s="8" t="s">
        <v>649</v>
      </c>
      <c r="C5" s="8" t="s">
        <v>650</v>
      </c>
      <c r="D5" s="8" t="s">
        <v>651</v>
      </c>
      <c r="E5" s="8" t="s">
        <v>652</v>
      </c>
      <c r="F5" s="8"/>
      <c r="G5" s="8"/>
      <c r="H5" s="8"/>
      <c r="I5" s="8" t="s">
        <v>653</v>
      </c>
      <c r="J5" s="8"/>
      <c r="K5" s="8"/>
      <c r="L5" s="8" t="s">
        <v>654</v>
      </c>
    </row>
    <row r="6" spans="1:12" ht="14.4" customHeight="1" x14ac:dyDescent="0.3">
      <c r="A6" s="12">
        <v>1</v>
      </c>
      <c r="B6" s="12" t="s">
        <v>655</v>
      </c>
      <c r="C6" s="12"/>
      <c r="D6" s="12"/>
      <c r="E6" s="12"/>
      <c r="F6" s="12"/>
      <c r="G6" s="12"/>
      <c r="H6" s="12"/>
      <c r="I6" s="12"/>
      <c r="J6" s="12"/>
      <c r="K6" s="12"/>
      <c r="L6" s="12"/>
    </row>
    <row r="7" spans="1:12" ht="14.4" customHeight="1" x14ac:dyDescent="0.3">
      <c r="A7" s="8">
        <v>2</v>
      </c>
      <c r="B7" s="8" t="s">
        <v>656</v>
      </c>
      <c r="C7" s="8"/>
      <c r="D7" s="8"/>
      <c r="E7" s="8"/>
      <c r="F7" s="8"/>
      <c r="G7" s="8"/>
      <c r="H7" s="8"/>
      <c r="I7" s="8"/>
      <c r="J7" s="8"/>
      <c r="K7" s="8"/>
      <c r="L7" s="8"/>
    </row>
    <row r="8" spans="1:12" ht="14.4" customHeight="1" x14ac:dyDescent="0.3">
      <c r="A8" s="12">
        <v>3</v>
      </c>
      <c r="B8" s="12" t="s">
        <v>657</v>
      </c>
      <c r="C8" s="12"/>
      <c r="D8" s="12"/>
      <c r="E8" s="12"/>
      <c r="F8" s="12"/>
      <c r="G8" s="12"/>
      <c r="H8" s="12"/>
      <c r="I8" s="12"/>
      <c r="J8" s="12"/>
      <c r="K8" s="12"/>
      <c r="L8" s="12"/>
    </row>
    <row r="9" spans="1:12" ht="14.4" customHeight="1" x14ac:dyDescent="0.3">
      <c r="A9" s="8">
        <v>4</v>
      </c>
      <c r="B9" s="8" t="s">
        <v>658</v>
      </c>
      <c r="C9" s="8"/>
      <c r="D9" s="8"/>
      <c r="E9" s="8"/>
      <c r="F9" s="8"/>
      <c r="G9" s="8"/>
      <c r="H9" s="8"/>
      <c r="I9" s="8"/>
      <c r="J9" s="8"/>
      <c r="K9" s="8"/>
      <c r="L9" s="8"/>
    </row>
    <row r="10" spans="1:12" ht="14.4" customHeight="1" x14ac:dyDescent="0.3">
      <c r="A10" s="12">
        <v>5</v>
      </c>
      <c r="B10" s="12" t="s">
        <v>659</v>
      </c>
      <c r="C10" s="12"/>
      <c r="D10" s="12"/>
      <c r="E10" s="12"/>
      <c r="F10" s="12"/>
      <c r="G10" s="12"/>
      <c r="H10" s="12"/>
      <c r="I10" s="12"/>
      <c r="J10" s="12"/>
      <c r="K10" s="12"/>
      <c r="L10" s="12"/>
    </row>
    <row r="11" spans="1:12" ht="14.4" customHeight="1" x14ac:dyDescent="0.3">
      <c r="A11" s="8">
        <v>6</v>
      </c>
      <c r="B11" s="8" t="s">
        <v>660</v>
      </c>
      <c r="C11" s="8"/>
      <c r="D11" s="8"/>
      <c r="E11" s="8"/>
      <c r="F11" s="8"/>
      <c r="G11" s="8"/>
      <c r="H11" s="8"/>
      <c r="I11" s="8"/>
      <c r="J11" s="8"/>
      <c r="K11" s="8"/>
      <c r="L11" s="8"/>
    </row>
    <row r="12" spans="1:12" ht="14.4" customHeight="1" x14ac:dyDescent="0.3">
      <c r="A12" s="12">
        <v>7</v>
      </c>
      <c r="B12" s="12" t="s">
        <v>661</v>
      </c>
      <c r="C12" s="12"/>
      <c r="D12" s="12"/>
      <c r="E12" s="12"/>
      <c r="F12" s="12"/>
      <c r="G12" s="12"/>
      <c r="H12" s="12"/>
      <c r="I12" s="12"/>
      <c r="J12" s="12"/>
      <c r="K12" s="12"/>
      <c r="L12" s="12"/>
    </row>
    <row r="13" spans="1:12" ht="14.4" customHeight="1" x14ac:dyDescent="0.3">
      <c r="A13" s="8">
        <v>8</v>
      </c>
      <c r="B13" s="8" t="s">
        <v>662</v>
      </c>
      <c r="C13" s="8"/>
      <c r="D13" s="8"/>
      <c r="E13" s="8"/>
      <c r="F13" s="8"/>
      <c r="G13" s="8"/>
      <c r="H13" s="8"/>
      <c r="I13" s="8"/>
      <c r="J13" s="8"/>
      <c r="K13" s="8"/>
      <c r="L13" s="8"/>
    </row>
    <row r="14" spans="1:12" ht="14.4" customHeight="1" x14ac:dyDescent="0.3">
      <c r="A14" s="12">
        <v>9</v>
      </c>
      <c r="B14" s="12" t="s">
        <v>663</v>
      </c>
      <c r="C14" s="12"/>
      <c r="D14" s="12"/>
      <c r="E14" s="12"/>
      <c r="F14" s="12"/>
      <c r="G14" s="12"/>
      <c r="H14" s="12"/>
      <c r="I14" s="12"/>
      <c r="J14" s="12"/>
      <c r="K14" s="12"/>
      <c r="L14" s="12"/>
    </row>
    <row r="15" spans="1:12" ht="14.4" customHeight="1" x14ac:dyDescent="0.3">
      <c r="A15" s="8">
        <v>10</v>
      </c>
      <c r="B15" s="8" t="s">
        <v>664</v>
      </c>
      <c r="C15" s="8"/>
      <c r="D15" s="8"/>
      <c r="E15" s="8"/>
      <c r="F15" s="8"/>
      <c r="G15" s="8"/>
      <c r="H15" s="8"/>
      <c r="I15" s="8"/>
      <c r="J15" s="8"/>
      <c r="K15" s="8"/>
      <c r="L15" s="8"/>
    </row>
    <row r="16" spans="1:12" ht="14.4" customHeight="1" x14ac:dyDescent="0.3">
      <c r="A16" s="12">
        <v>11</v>
      </c>
      <c r="B16" s="12" t="s">
        <v>665</v>
      </c>
      <c r="C16" s="12"/>
      <c r="D16" s="12"/>
      <c r="E16" s="12"/>
      <c r="F16" s="12"/>
      <c r="G16" s="12"/>
      <c r="H16" s="12"/>
      <c r="I16" s="12"/>
      <c r="J16" s="12"/>
      <c r="K16" s="12"/>
      <c r="L16" s="12"/>
    </row>
    <row r="17" spans="1:12" ht="14.4" customHeight="1" x14ac:dyDescent="0.3">
      <c r="A17" s="8">
        <v>12</v>
      </c>
      <c r="B17" s="8" t="s">
        <v>666</v>
      </c>
      <c r="C17" s="8"/>
      <c r="D17" s="8"/>
      <c r="E17" s="8"/>
      <c r="F17" s="8"/>
      <c r="G17" s="8"/>
      <c r="H17" s="8"/>
      <c r="I17" s="8"/>
      <c r="J17" s="8"/>
      <c r="K17" s="8"/>
      <c r="L17" s="8"/>
    </row>
    <row r="18" spans="1:12" ht="14.4" customHeight="1" x14ac:dyDescent="0.3">
      <c r="A18" s="12">
        <v>13</v>
      </c>
      <c r="B18" s="12" t="s">
        <v>667</v>
      </c>
      <c r="C18" s="12"/>
      <c r="D18" s="12"/>
      <c r="E18" s="12"/>
      <c r="F18" s="12"/>
      <c r="G18" s="12"/>
      <c r="H18" s="12"/>
      <c r="I18" s="12"/>
      <c r="J18" s="12"/>
      <c r="K18" s="12"/>
      <c r="L18" s="12"/>
    </row>
    <row r="19" spans="1:12" ht="14.4" customHeight="1" x14ac:dyDescent="0.3">
      <c r="A19" s="8">
        <v>14</v>
      </c>
      <c r="B19" s="8" t="s">
        <v>668</v>
      </c>
      <c r="C19" s="8"/>
      <c r="D19" s="8"/>
      <c r="E19" s="8"/>
      <c r="F19" s="8"/>
      <c r="G19" s="8"/>
      <c r="H19" s="8"/>
      <c r="I19" s="8"/>
      <c r="J19" s="8"/>
      <c r="K19" s="8"/>
      <c r="L19" s="8"/>
    </row>
    <row r="20" spans="1:12" ht="14.4" customHeight="1" x14ac:dyDescent="0.3">
      <c r="A20" s="12">
        <v>15</v>
      </c>
      <c r="B20" s="12" t="s">
        <v>669</v>
      </c>
      <c r="C20" s="12"/>
      <c r="D20" s="12"/>
      <c r="E20" s="12"/>
      <c r="F20" s="12"/>
      <c r="G20" s="12"/>
      <c r="H20" s="12"/>
      <c r="I20" s="12"/>
      <c r="J20" s="12"/>
      <c r="K20" s="12"/>
      <c r="L20" s="12"/>
    </row>
    <row r="21" spans="1:12" ht="15.75" customHeight="1" x14ac:dyDescent="0.3">
      <c r="A21" s="8">
        <v>16</v>
      </c>
      <c r="B21" s="8" t="s">
        <v>670</v>
      </c>
      <c r="C21" s="8"/>
      <c r="D21" s="8"/>
      <c r="E21" s="8"/>
      <c r="F21" s="8"/>
      <c r="G21" s="8"/>
      <c r="H21" s="8"/>
      <c r="I21" s="8"/>
      <c r="J21" s="8"/>
      <c r="K21" s="8"/>
      <c r="L21" s="8"/>
    </row>
    <row r="22" spans="1:12" ht="15.75" customHeight="1" x14ac:dyDescent="0.3">
      <c r="A22" s="12">
        <v>17</v>
      </c>
      <c r="B22" s="12" t="s">
        <v>671</v>
      </c>
      <c r="C22" s="12"/>
      <c r="D22" s="12"/>
      <c r="E22" s="12"/>
      <c r="F22" s="12"/>
      <c r="G22" s="12"/>
      <c r="H22" s="12"/>
      <c r="I22" s="12"/>
      <c r="J22" s="12"/>
      <c r="K22" s="12"/>
      <c r="L22" s="12"/>
    </row>
    <row r="23" spans="1:12" ht="15.75" customHeight="1" x14ac:dyDescent="0.3">
      <c r="A23" s="8">
        <v>18</v>
      </c>
      <c r="B23" s="8" t="s">
        <v>672</v>
      </c>
      <c r="C23" s="8"/>
      <c r="D23" s="8"/>
      <c r="E23" s="8"/>
      <c r="F23" s="8"/>
      <c r="G23" s="8"/>
      <c r="H23" s="8"/>
      <c r="I23" s="8"/>
      <c r="J23" s="8"/>
      <c r="K23" s="8"/>
      <c r="L23" s="8"/>
    </row>
    <row r="24" spans="1:12" ht="15.75" customHeight="1" x14ac:dyDescent="0.3">
      <c r="A24" s="12">
        <v>19</v>
      </c>
      <c r="B24" s="12" t="s">
        <v>673</v>
      </c>
      <c r="C24" s="12"/>
      <c r="D24" s="12"/>
      <c r="E24" s="12"/>
      <c r="F24" s="12"/>
      <c r="G24" s="12"/>
      <c r="H24" s="12"/>
      <c r="I24" s="12"/>
      <c r="J24" s="12"/>
      <c r="K24" s="12"/>
      <c r="L24" s="12"/>
    </row>
    <row r="25" spans="1:12" ht="15.75" customHeight="1" x14ac:dyDescent="0.3">
      <c r="A25" s="8">
        <v>20</v>
      </c>
      <c r="B25" s="8" t="s">
        <v>674</v>
      </c>
      <c r="C25" s="8"/>
      <c r="D25" s="8"/>
      <c r="E25" s="8"/>
      <c r="F25" s="8"/>
      <c r="G25" s="8"/>
      <c r="H25" s="8"/>
      <c r="I25" s="8"/>
      <c r="J25" s="8"/>
      <c r="K25" s="8"/>
      <c r="L25" s="8"/>
    </row>
    <row r="26" spans="1:12" ht="15.75" customHeight="1" x14ac:dyDescent="0.3">
      <c r="A26" s="12">
        <v>21</v>
      </c>
      <c r="B26" s="12" t="s">
        <v>675</v>
      </c>
      <c r="C26" s="12"/>
      <c r="D26" s="12"/>
      <c r="E26" s="12"/>
      <c r="F26" s="12"/>
      <c r="G26" s="12"/>
      <c r="H26" s="12"/>
      <c r="I26" s="12"/>
      <c r="J26" s="12"/>
      <c r="K26" s="12"/>
      <c r="L26" s="12"/>
    </row>
    <row r="27" spans="1:12" ht="15.75" customHeight="1" x14ac:dyDescent="0.3">
      <c r="A27" s="8">
        <v>22</v>
      </c>
      <c r="B27" s="8" t="s">
        <v>676</v>
      </c>
      <c r="C27" s="8"/>
      <c r="D27" s="8"/>
      <c r="E27" s="8"/>
      <c r="F27" s="8"/>
      <c r="G27" s="8"/>
      <c r="H27" s="8"/>
      <c r="I27" s="8"/>
      <c r="J27" s="8"/>
      <c r="K27" s="8"/>
      <c r="L27" s="8"/>
    </row>
    <row r="28" spans="1:12" ht="15.75" customHeight="1" x14ac:dyDescent="0.3">
      <c r="A28" s="12">
        <v>23</v>
      </c>
      <c r="B28" s="12" t="s">
        <v>677</v>
      </c>
      <c r="C28" s="12"/>
      <c r="D28" s="12"/>
      <c r="E28" s="12"/>
      <c r="F28" s="12"/>
      <c r="G28" s="12"/>
      <c r="H28" s="12"/>
      <c r="I28" s="12"/>
      <c r="J28" s="12"/>
      <c r="K28" s="12"/>
      <c r="L28" s="12"/>
    </row>
    <row r="29" spans="1:12" ht="15.75" customHeight="1" x14ac:dyDescent="0.3">
      <c r="A29" s="8">
        <v>24</v>
      </c>
      <c r="B29" s="8" t="s">
        <v>678</v>
      </c>
      <c r="C29" s="8"/>
      <c r="D29" s="8"/>
      <c r="E29" s="8"/>
      <c r="F29" s="8"/>
      <c r="G29" s="8"/>
      <c r="H29" s="8"/>
      <c r="I29" s="8"/>
      <c r="J29" s="8"/>
      <c r="K29" s="8"/>
      <c r="L29" s="8"/>
    </row>
    <row r="30" spans="1:12" ht="15.75" customHeight="1" x14ac:dyDescent="0.3">
      <c r="A30" s="12">
        <v>25</v>
      </c>
      <c r="B30" s="12" t="s">
        <v>679</v>
      </c>
      <c r="C30" s="12"/>
      <c r="D30" s="12"/>
      <c r="E30" s="12"/>
      <c r="F30" s="12"/>
      <c r="G30" s="12"/>
      <c r="H30" s="12"/>
      <c r="I30" s="12"/>
      <c r="J30" s="12"/>
      <c r="K30" s="12"/>
      <c r="L30" s="12"/>
    </row>
    <row r="31" spans="1:12" ht="15.75" customHeight="1" x14ac:dyDescent="0.3">
      <c r="A31" s="8">
        <v>26</v>
      </c>
      <c r="B31" s="8" t="s">
        <v>680</v>
      </c>
      <c r="C31" s="8"/>
      <c r="D31" s="8"/>
      <c r="E31" s="8"/>
      <c r="F31" s="8"/>
      <c r="G31" s="8"/>
      <c r="H31" s="8"/>
      <c r="I31" s="8"/>
      <c r="J31" s="8"/>
      <c r="K31" s="8"/>
      <c r="L31" s="8"/>
    </row>
    <row r="32" spans="1:12" ht="15.75" customHeight="1" x14ac:dyDescent="0.3">
      <c r="A32" s="12">
        <v>27</v>
      </c>
      <c r="B32" s="12" t="s">
        <v>681</v>
      </c>
      <c r="C32" s="12"/>
      <c r="D32" s="12"/>
      <c r="E32" s="12"/>
      <c r="F32" s="12"/>
      <c r="G32" s="12"/>
      <c r="H32" s="12"/>
      <c r="I32" s="12"/>
      <c r="J32" s="12"/>
      <c r="K32" s="12"/>
      <c r="L32" s="12"/>
    </row>
    <row r="33" spans="1:12" ht="15.75" customHeight="1" x14ac:dyDescent="0.3">
      <c r="A33" s="8">
        <v>28</v>
      </c>
      <c r="B33" s="8" t="s">
        <v>682</v>
      </c>
      <c r="C33" s="8"/>
      <c r="D33" s="8"/>
      <c r="E33" s="8"/>
      <c r="F33" s="8"/>
      <c r="G33" s="8"/>
      <c r="H33" s="8"/>
      <c r="I33" s="8"/>
      <c r="J33" s="8"/>
      <c r="K33" s="8"/>
      <c r="L33" s="8"/>
    </row>
    <row r="34" spans="1:12" ht="15.75" customHeight="1" x14ac:dyDescent="0.3">
      <c r="A34" s="12">
        <v>29</v>
      </c>
      <c r="B34" s="12" t="s">
        <v>683</v>
      </c>
      <c r="C34" s="12"/>
      <c r="D34" s="12"/>
      <c r="E34" s="12"/>
      <c r="F34" s="12"/>
      <c r="G34" s="12"/>
      <c r="H34" s="12"/>
      <c r="I34" s="12"/>
      <c r="J34" s="12"/>
      <c r="K34" s="12"/>
      <c r="L34" s="12"/>
    </row>
    <row r="35" spans="1:12" ht="15.75" customHeight="1" x14ac:dyDescent="0.3">
      <c r="A35" s="8">
        <v>30</v>
      </c>
      <c r="B35" s="8" t="s">
        <v>684</v>
      </c>
      <c r="C35" s="8"/>
      <c r="D35" s="8"/>
      <c r="E35" s="8"/>
      <c r="F35" s="8"/>
      <c r="G35" s="8"/>
      <c r="H35" s="8"/>
      <c r="I35" s="8"/>
      <c r="J35" s="8"/>
      <c r="K35" s="8"/>
      <c r="L35" s="8"/>
    </row>
    <row r="36" spans="1:12" ht="15.75" customHeight="1" x14ac:dyDescent="0.3"/>
    <row r="37" spans="1:12" ht="15.75" customHeight="1" x14ac:dyDescent="0.3">
      <c r="A37" s="24" t="s">
        <v>685</v>
      </c>
    </row>
    <row r="38" spans="1:12" ht="15.75" customHeight="1" x14ac:dyDescent="0.3">
      <c r="A38" s="30" t="s">
        <v>686</v>
      </c>
      <c r="B38" s="26" t="s">
        <v>687</v>
      </c>
    </row>
    <row r="39" spans="1:12" ht="15.75" customHeight="1" x14ac:dyDescent="0.3">
      <c r="A39" s="31" t="s">
        <v>688</v>
      </c>
      <c r="B39" s="26" t="s">
        <v>689</v>
      </c>
    </row>
    <row r="40" spans="1:12" ht="15.75" customHeight="1" x14ac:dyDescent="0.3">
      <c r="A40" s="32" t="s">
        <v>690</v>
      </c>
      <c r="B40" s="26" t="s">
        <v>691</v>
      </c>
    </row>
    <row r="41" spans="1:12" ht="15.75" customHeight="1" x14ac:dyDescent="0.3">
      <c r="A41" s="33" t="s">
        <v>692</v>
      </c>
      <c r="B41" s="26" t="s">
        <v>693</v>
      </c>
    </row>
    <row r="42" spans="1:12" ht="15.75" customHeight="1" x14ac:dyDescent="0.3"/>
    <row r="43" spans="1:12" ht="15.75" customHeight="1" x14ac:dyDescent="0.3"/>
    <row r="44" spans="1:12" ht="15.75" customHeight="1" x14ac:dyDescent="0.3"/>
    <row r="45" spans="1:12" ht="15.75" customHeight="1" x14ac:dyDescent="0.3"/>
    <row r="46" spans="1:12" ht="15.75" customHeight="1" x14ac:dyDescent="0.3"/>
    <row r="47" spans="1:12" ht="15.75" customHeight="1" x14ac:dyDescent="0.3"/>
    <row r="48" spans="1:1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2:L2"/>
    <mergeCell ref="A1:L1"/>
  </mergeCells>
  <conditionalFormatting sqref="F5:F35">
    <cfRule type="cellIs" dxfId="9" priority="1" operator="equal">
      <formula>"Nghiêm trọng"</formula>
    </cfRule>
    <cfRule type="cellIs" dxfId="8" priority="2" operator="equal">
      <formula>"Cao"</formula>
    </cfRule>
    <cfRule type="cellIs" dxfId="7" priority="3" operator="equal">
      <formula>"Trung bình"</formula>
    </cfRule>
    <cfRule type="cellIs" dxfId="6" priority="4" operator="equal">
      <formula>"Thấp"</formula>
    </cfRule>
  </conditionalFormatting>
  <conditionalFormatting sqref="G5:G35">
    <cfRule type="cellIs" dxfId="5" priority="9" operator="equal">
      <formula>"P0"</formula>
    </cfRule>
    <cfRule type="cellIs" dxfId="4" priority="10" operator="equal">
      <formula>"P1"</formula>
    </cfRule>
  </conditionalFormatting>
  <conditionalFormatting sqref="K5:K35">
    <cfRule type="cellIs" dxfId="3" priority="5" operator="equal">
      <formula>"Hoàn thành"</formula>
    </cfRule>
    <cfRule type="cellIs" dxfId="2" priority="6" operator="equal">
      <formula>"Đang làm"</formula>
    </cfRule>
    <cfRule type="cellIs" dxfId="1" priority="7" operator="equal">
      <formula>"Bị kẹt"</formula>
    </cfRule>
    <cfRule type="cellIs" dxfId="0" priority="8" operator="equal">
      <formula>"Chưa bắt đầu"</formula>
    </cfRule>
  </conditionalFormatting>
  <dataValidations count="3">
    <dataValidation type="list" allowBlank="1" sqref="F5:F35" xr:uid="{00000000-0002-0000-0700-000000000000}">
      <formula1>"Nghiêm trọng,Cao,Trung bình,Thấp"</formula1>
    </dataValidation>
    <dataValidation type="list" allowBlank="1" sqref="K5:K35" xr:uid="{00000000-0002-0000-0700-000001000000}">
      <formula1>"Mở,Đang sửa,Đang kiểm thử,Đã sửa,Không sửa,Lặp lại"</formula1>
    </dataValidation>
    <dataValidation type="list" allowBlank="1" sqref="G5:G35" xr:uid="{00000000-0002-0000-0700-000002000000}">
      <formula1>"P0,P1,P2,P3"</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75623"/>
  </sheetPr>
  <dimension ref="A1:H1000"/>
  <sheetViews>
    <sheetView workbookViewId="0">
      <pane ySplit="4" topLeftCell="A5" activePane="bottomLeft" state="frozen"/>
      <selection pane="bottomLeft" activeCell="B6" sqref="B6"/>
    </sheetView>
  </sheetViews>
  <sheetFormatPr defaultColWidth="14.44140625" defaultRowHeight="15" customHeight="1" x14ac:dyDescent="0.3"/>
  <cols>
    <col min="1" max="1" width="6" customWidth="1"/>
    <col min="2" max="2" width="25" customWidth="1"/>
    <col min="3" max="3" width="32" customWidth="1"/>
    <col min="4" max="5" width="35" customWidth="1"/>
    <col min="6" max="6" width="18" customWidth="1"/>
    <col min="7" max="7" width="14" customWidth="1"/>
    <col min="8" max="8" width="16" customWidth="1"/>
  </cols>
  <sheetData>
    <row r="1" spans="1:8" ht="21" customHeight="1" x14ac:dyDescent="0.4">
      <c r="A1" s="49" t="s">
        <v>694</v>
      </c>
      <c r="B1" s="45"/>
      <c r="C1" s="45"/>
      <c r="D1" s="45"/>
      <c r="E1" s="45"/>
      <c r="F1" s="45"/>
      <c r="G1" s="45"/>
      <c r="H1" s="45"/>
    </row>
    <row r="2" spans="1:8" ht="14.4" customHeight="1" x14ac:dyDescent="0.3">
      <c r="A2" s="46" t="s">
        <v>695</v>
      </c>
      <c r="B2" s="45"/>
      <c r="C2" s="45"/>
      <c r="D2" s="45"/>
      <c r="E2" s="45"/>
      <c r="F2" s="45"/>
      <c r="G2" s="45"/>
      <c r="H2" s="45"/>
    </row>
    <row r="4" spans="1:8" ht="27.6" customHeight="1" x14ac:dyDescent="0.3">
      <c r="A4" s="1" t="s">
        <v>51</v>
      </c>
      <c r="B4" s="1" t="s">
        <v>52</v>
      </c>
      <c r="C4" s="1" t="s">
        <v>696</v>
      </c>
      <c r="D4" s="1" t="s">
        <v>134</v>
      </c>
      <c r="E4" s="1" t="s">
        <v>697</v>
      </c>
      <c r="F4" s="1" t="s">
        <v>698</v>
      </c>
      <c r="G4" s="1" t="s">
        <v>570</v>
      </c>
      <c r="H4" s="1" t="s">
        <v>699</v>
      </c>
    </row>
    <row r="5" spans="1:8" ht="14.4" customHeight="1" x14ac:dyDescent="0.3">
      <c r="A5" s="3"/>
      <c r="B5" s="51" t="s">
        <v>700</v>
      </c>
      <c r="C5" s="39"/>
      <c r="D5" s="39"/>
      <c r="E5" s="39"/>
      <c r="F5" s="39"/>
      <c r="G5" s="39"/>
      <c r="H5" s="40"/>
    </row>
    <row r="6" spans="1:8" ht="52.05" customHeight="1" x14ac:dyDescent="0.3">
      <c r="A6" s="8">
        <v>1</v>
      </c>
      <c r="B6" s="11"/>
      <c r="C6" s="8" t="s">
        <v>68</v>
      </c>
      <c r="D6" s="8" t="s">
        <v>701</v>
      </c>
      <c r="E6" s="16" t="s">
        <v>69</v>
      </c>
      <c r="F6" s="16" t="s">
        <v>59</v>
      </c>
      <c r="G6" s="36">
        <v>46255</v>
      </c>
      <c r="H6" s="36">
        <v>46255</v>
      </c>
    </row>
    <row r="7" spans="1:8" ht="14.4" customHeight="1" x14ac:dyDescent="0.3">
      <c r="A7" s="8">
        <v>2</v>
      </c>
      <c r="B7" s="11"/>
      <c r="C7" s="8" t="s">
        <v>702</v>
      </c>
      <c r="D7" s="8" t="s">
        <v>703</v>
      </c>
      <c r="E7" s="16"/>
      <c r="F7" s="16"/>
      <c r="G7" s="11"/>
      <c r="H7" s="11"/>
    </row>
    <row r="8" spans="1:8" ht="52.05" customHeight="1" x14ac:dyDescent="0.3">
      <c r="A8" s="8">
        <v>3</v>
      </c>
      <c r="B8" s="11"/>
      <c r="C8" s="8" t="s">
        <v>704</v>
      </c>
      <c r="D8" s="8" t="s">
        <v>705</v>
      </c>
      <c r="E8" s="16" t="s">
        <v>81</v>
      </c>
      <c r="F8" s="16" t="s">
        <v>59</v>
      </c>
      <c r="G8" s="36">
        <v>46255</v>
      </c>
      <c r="H8" s="36">
        <v>46255</v>
      </c>
    </row>
    <row r="9" spans="1:8" ht="14.4" customHeight="1" x14ac:dyDescent="0.3">
      <c r="A9" s="3"/>
      <c r="B9" s="51" t="s">
        <v>706</v>
      </c>
      <c r="C9" s="39"/>
      <c r="D9" s="39"/>
      <c r="E9" s="39"/>
      <c r="F9" s="39"/>
      <c r="G9" s="39"/>
      <c r="H9" s="40"/>
    </row>
    <row r="10" spans="1:8" ht="52.05" customHeight="1" x14ac:dyDescent="0.3">
      <c r="A10" s="8">
        <v>4</v>
      </c>
      <c r="B10" s="11"/>
      <c r="C10" s="8" t="s">
        <v>76</v>
      </c>
      <c r="D10" s="8" t="s">
        <v>707</v>
      </c>
      <c r="E10" s="16" t="s">
        <v>77</v>
      </c>
      <c r="F10" s="16" t="s">
        <v>59</v>
      </c>
      <c r="G10" s="36">
        <v>46255</v>
      </c>
      <c r="H10" s="36">
        <v>46255</v>
      </c>
    </row>
    <row r="11" spans="1:8" ht="52.05" customHeight="1" x14ac:dyDescent="0.3">
      <c r="A11" s="8">
        <v>5</v>
      </c>
      <c r="B11" s="11"/>
      <c r="C11" s="8" t="s">
        <v>708</v>
      </c>
      <c r="D11" s="8" t="s">
        <v>709</v>
      </c>
      <c r="E11" s="16" t="s">
        <v>416</v>
      </c>
      <c r="F11" s="16" t="s">
        <v>74</v>
      </c>
      <c r="G11" s="36">
        <v>46255</v>
      </c>
      <c r="H11" s="36">
        <v>46255</v>
      </c>
    </row>
    <row r="12" spans="1:8" ht="27.6" customHeight="1" x14ac:dyDescent="0.3">
      <c r="A12" s="8">
        <v>6</v>
      </c>
      <c r="B12" s="11"/>
      <c r="C12" s="8" t="s">
        <v>710</v>
      </c>
      <c r="D12" s="8" t="s">
        <v>711</v>
      </c>
      <c r="E12" s="16"/>
      <c r="F12" s="16"/>
      <c r="G12" s="11"/>
      <c r="H12" s="11"/>
    </row>
    <row r="13" spans="1:8" ht="14.4" customHeight="1" x14ac:dyDescent="0.3">
      <c r="A13" s="8">
        <v>7</v>
      </c>
      <c r="B13" s="11"/>
      <c r="C13" s="8" t="s">
        <v>712</v>
      </c>
      <c r="D13" s="8" t="s">
        <v>713</v>
      </c>
      <c r="E13" s="16"/>
      <c r="F13" s="16"/>
      <c r="G13" s="11"/>
      <c r="H13" s="11"/>
    </row>
    <row r="14" spans="1:8" ht="52.05" customHeight="1" x14ac:dyDescent="0.3">
      <c r="A14" s="8">
        <v>8</v>
      </c>
      <c r="B14" s="11"/>
      <c r="C14" s="8" t="s">
        <v>714</v>
      </c>
      <c r="D14" s="8" t="s">
        <v>715</v>
      </c>
      <c r="E14" s="16" t="s">
        <v>73</v>
      </c>
      <c r="F14" s="16" t="s">
        <v>74</v>
      </c>
      <c r="G14" s="36">
        <v>46255</v>
      </c>
      <c r="H14" s="36">
        <v>46255</v>
      </c>
    </row>
    <row r="15" spans="1:8" ht="14.4" customHeight="1" x14ac:dyDescent="0.3">
      <c r="A15" s="3"/>
      <c r="B15" s="51" t="s">
        <v>716</v>
      </c>
      <c r="C15" s="39"/>
      <c r="D15" s="39"/>
      <c r="E15" s="39"/>
      <c r="F15" s="39"/>
      <c r="G15" s="39"/>
      <c r="H15" s="40"/>
    </row>
    <row r="16" spans="1:8" ht="27.6" customHeight="1" x14ac:dyDescent="0.3">
      <c r="A16" s="8">
        <v>9</v>
      </c>
      <c r="B16" s="11"/>
      <c r="C16" s="8" t="s">
        <v>88</v>
      </c>
      <c r="D16" s="8" t="s">
        <v>717</v>
      </c>
      <c r="E16" s="16"/>
      <c r="F16" s="16"/>
      <c r="G16" s="11"/>
      <c r="H16" s="11"/>
    </row>
    <row r="17" spans="1:8" ht="27.6" customHeight="1" x14ac:dyDescent="0.3">
      <c r="A17" s="8">
        <v>10</v>
      </c>
      <c r="B17" s="11"/>
      <c r="C17" s="8" t="s">
        <v>718</v>
      </c>
      <c r="D17" s="8" t="s">
        <v>719</v>
      </c>
      <c r="E17" s="16"/>
      <c r="F17" s="16"/>
      <c r="G17" s="11"/>
      <c r="H17" s="11"/>
    </row>
    <row r="18" spans="1:8" ht="27.6" customHeight="1" x14ac:dyDescent="0.3">
      <c r="A18" s="8">
        <v>11</v>
      </c>
      <c r="B18" s="11"/>
      <c r="C18" s="8" t="s">
        <v>720</v>
      </c>
      <c r="D18" s="8" t="s">
        <v>721</v>
      </c>
      <c r="E18" s="16"/>
      <c r="F18" s="16"/>
      <c r="G18" s="11"/>
      <c r="H18" s="11"/>
    </row>
    <row r="19" spans="1:8" ht="27.6" customHeight="1" x14ac:dyDescent="0.3">
      <c r="A19" s="8">
        <v>12</v>
      </c>
      <c r="B19" s="11"/>
      <c r="C19" s="8" t="s">
        <v>722</v>
      </c>
      <c r="D19" s="8" t="s">
        <v>723</v>
      </c>
      <c r="E19" s="16"/>
      <c r="F19" s="16"/>
      <c r="G19" s="11"/>
      <c r="H19" s="11"/>
    </row>
    <row r="20" spans="1:8" ht="14.4" customHeight="1" x14ac:dyDescent="0.3">
      <c r="A20" s="3"/>
      <c r="B20" s="51" t="s">
        <v>724</v>
      </c>
      <c r="C20" s="39"/>
      <c r="D20" s="39"/>
      <c r="E20" s="39"/>
      <c r="F20" s="39"/>
      <c r="G20" s="39"/>
      <c r="H20" s="40"/>
    </row>
    <row r="21" spans="1:8" ht="52.05" customHeight="1" x14ac:dyDescent="0.3">
      <c r="A21" s="8">
        <v>13</v>
      </c>
      <c r="B21" s="11"/>
      <c r="C21" s="8" t="s">
        <v>725</v>
      </c>
      <c r="D21" s="8" t="s">
        <v>726</v>
      </c>
      <c r="E21" s="16" t="s">
        <v>15</v>
      </c>
      <c r="F21" s="16" t="s">
        <v>59</v>
      </c>
      <c r="G21" s="36">
        <v>46255</v>
      </c>
      <c r="H21" s="36">
        <v>46259</v>
      </c>
    </row>
    <row r="22" spans="1:8" ht="15.75" customHeight="1" x14ac:dyDescent="0.3">
      <c r="A22" s="8">
        <v>14</v>
      </c>
      <c r="B22" s="11"/>
      <c r="C22" s="8" t="s">
        <v>727</v>
      </c>
      <c r="D22" s="8" t="s">
        <v>728</v>
      </c>
      <c r="E22" s="16"/>
      <c r="F22" s="16"/>
      <c r="G22" s="11"/>
      <c r="H22" s="11"/>
    </row>
    <row r="23" spans="1:8" ht="15.75" customHeight="1" x14ac:dyDescent="0.3">
      <c r="A23" s="8">
        <v>15</v>
      </c>
      <c r="B23" s="11"/>
      <c r="C23" s="8" t="s">
        <v>729</v>
      </c>
      <c r="D23" s="8" t="s">
        <v>730</v>
      </c>
      <c r="E23" s="16"/>
      <c r="F23" s="16"/>
      <c r="G23" s="11"/>
      <c r="H23" s="11"/>
    </row>
    <row r="24" spans="1:8" ht="52.05" customHeight="1" x14ac:dyDescent="0.3">
      <c r="A24" s="8">
        <v>16</v>
      </c>
      <c r="B24" s="11"/>
      <c r="C24" s="8" t="s">
        <v>731</v>
      </c>
      <c r="D24" s="8" t="s">
        <v>732</v>
      </c>
      <c r="E24" s="16" t="s">
        <v>733</v>
      </c>
      <c r="F24" s="16" t="s">
        <v>734</v>
      </c>
      <c r="G24" s="36">
        <v>46255</v>
      </c>
      <c r="H24" s="36">
        <v>46255</v>
      </c>
    </row>
    <row r="25" spans="1:8" ht="15.75" customHeight="1" x14ac:dyDescent="0.3">
      <c r="A25" s="3"/>
      <c r="B25" s="51" t="s">
        <v>735</v>
      </c>
      <c r="C25" s="39"/>
      <c r="D25" s="39"/>
      <c r="E25" s="39"/>
      <c r="F25" s="39"/>
      <c r="G25" s="39"/>
      <c r="H25" s="40"/>
    </row>
    <row r="26" spans="1:8" ht="15.75" customHeight="1" x14ac:dyDescent="0.3">
      <c r="A26" s="8">
        <v>17</v>
      </c>
      <c r="B26" s="11"/>
      <c r="C26" s="8" t="s">
        <v>736</v>
      </c>
      <c r="D26" s="8" t="s">
        <v>737</v>
      </c>
      <c r="E26" s="16"/>
      <c r="F26" s="16"/>
      <c r="G26" s="11"/>
      <c r="H26" s="11"/>
    </row>
    <row r="27" spans="1:8" ht="15.75" customHeight="1" x14ac:dyDescent="0.3">
      <c r="A27" s="8">
        <v>18</v>
      </c>
      <c r="B27" s="11"/>
      <c r="C27" s="8" t="s">
        <v>738</v>
      </c>
      <c r="D27" s="8" t="s">
        <v>739</v>
      </c>
      <c r="E27" s="16"/>
      <c r="F27" s="16"/>
      <c r="G27" s="11"/>
      <c r="H27" s="11"/>
    </row>
    <row r="28" spans="1:8" ht="15.75" customHeight="1" x14ac:dyDescent="0.3">
      <c r="A28" s="8">
        <v>19</v>
      </c>
      <c r="B28" s="11"/>
      <c r="C28" s="8" t="s">
        <v>740</v>
      </c>
      <c r="D28" s="8" t="s">
        <v>741</v>
      </c>
      <c r="E28" s="16"/>
      <c r="F28" s="16"/>
      <c r="G28" s="11"/>
      <c r="H28" s="11"/>
    </row>
    <row r="29" spans="1:8" ht="15.75" customHeight="1" x14ac:dyDescent="0.3">
      <c r="A29" s="8">
        <v>20</v>
      </c>
      <c r="B29" s="11"/>
      <c r="C29" s="11"/>
      <c r="D29" s="11"/>
      <c r="E29" s="11"/>
      <c r="F29" s="11"/>
      <c r="G29" s="11"/>
      <c r="H29" s="11"/>
    </row>
    <row r="30" spans="1:8" ht="15.75" customHeight="1" x14ac:dyDescent="0.3">
      <c r="A30" s="8">
        <v>21</v>
      </c>
      <c r="B30" s="11"/>
      <c r="C30" s="11"/>
      <c r="D30" s="11"/>
      <c r="E30" s="11"/>
      <c r="F30" s="11"/>
      <c r="G30" s="11"/>
      <c r="H30" s="11"/>
    </row>
    <row r="31" spans="1:8" ht="15.75" customHeight="1" x14ac:dyDescent="0.3">
      <c r="A31" s="8">
        <v>22</v>
      </c>
      <c r="B31" s="11"/>
      <c r="C31" s="11"/>
      <c r="D31" s="11"/>
      <c r="E31" s="11"/>
      <c r="F31" s="11"/>
      <c r="G31" s="11"/>
      <c r="H31" s="11"/>
    </row>
    <row r="32" spans="1:8"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7">
    <mergeCell ref="A1:H1"/>
    <mergeCell ref="B9:H9"/>
    <mergeCell ref="A2:H2"/>
    <mergeCell ref="B15:H15"/>
    <mergeCell ref="B25:H25"/>
    <mergeCell ref="B5:H5"/>
    <mergeCell ref="B20:H20"/>
  </mergeCells>
  <hyperlinks>
    <hyperlink ref="E14" r:id="rId1" xr:uid="{00000000-0004-0000-0800-000000000000}"/>
    <hyperlink ref="E21" r:id="rId2" xr:uid="{00000000-0004-0000-0800-000001000000}"/>
  </hyperlink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600"/>
  </sheetPr>
  <dimension ref="A1:E1000"/>
  <sheetViews>
    <sheetView workbookViewId="0">
      <pane ySplit="3" topLeftCell="A4" activePane="bottomLeft" state="frozen"/>
      <selection pane="bottomLeft" activeCell="B5" sqref="B5"/>
    </sheetView>
  </sheetViews>
  <sheetFormatPr defaultColWidth="14.44140625" defaultRowHeight="15" customHeight="1" x14ac:dyDescent="0.3"/>
  <cols>
    <col min="1" max="1" width="24" customWidth="1"/>
    <col min="2" max="2" width="30" customWidth="1"/>
    <col min="3" max="5" width="20" customWidth="1"/>
    <col min="6" max="6" width="8.6640625" customWidth="1"/>
  </cols>
  <sheetData>
    <row r="1" spans="1:5" ht="21" customHeight="1" x14ac:dyDescent="0.4">
      <c r="A1" s="49" t="s">
        <v>742</v>
      </c>
      <c r="B1" s="45"/>
      <c r="C1" s="45"/>
      <c r="D1" s="45"/>
      <c r="E1" s="45"/>
    </row>
    <row r="2" spans="1:5" ht="14.4" customHeight="1" x14ac:dyDescent="0.3">
      <c r="A2" s="46" t="s">
        <v>743</v>
      </c>
      <c r="B2" s="45"/>
      <c r="C2" s="45"/>
      <c r="D2" s="45"/>
      <c r="E2" s="45"/>
    </row>
    <row r="4" spans="1:5" ht="16.8" customHeight="1" x14ac:dyDescent="0.3">
      <c r="A4" s="55" t="s">
        <v>744</v>
      </c>
      <c r="B4" s="39"/>
      <c r="C4" s="39"/>
      <c r="D4" s="39"/>
      <c r="E4" s="40"/>
    </row>
    <row r="5" spans="1:5" ht="14.4" customHeight="1" x14ac:dyDescent="0.3">
      <c r="A5" s="13" t="s">
        <v>745</v>
      </c>
      <c r="B5" s="57" t="s">
        <v>746</v>
      </c>
      <c r="C5" s="39"/>
      <c r="D5" s="39"/>
      <c r="E5" s="40"/>
    </row>
    <row r="6" spans="1:5" ht="54" customHeight="1" x14ac:dyDescent="0.3">
      <c r="A6" s="13" t="s">
        <v>747</v>
      </c>
      <c r="B6" s="57" t="s">
        <v>748</v>
      </c>
      <c r="C6" s="39"/>
      <c r="D6" s="39"/>
      <c r="E6" s="40"/>
    </row>
    <row r="7" spans="1:5" ht="72" customHeight="1" x14ac:dyDescent="0.3">
      <c r="A7" s="13" t="s">
        <v>749</v>
      </c>
      <c r="B7" s="57" t="s">
        <v>750</v>
      </c>
      <c r="C7" s="39"/>
      <c r="D7" s="39"/>
      <c r="E7" s="40"/>
    </row>
    <row r="9" spans="1:5" ht="16.8" customHeight="1" x14ac:dyDescent="0.3">
      <c r="A9" s="55" t="s">
        <v>751</v>
      </c>
      <c r="B9" s="39"/>
      <c r="C9" s="39"/>
      <c r="D9" s="39"/>
      <c r="E9" s="40"/>
    </row>
    <row r="10" spans="1:5" ht="72" customHeight="1" x14ac:dyDescent="0.3">
      <c r="A10" s="13" t="s">
        <v>752</v>
      </c>
      <c r="B10" s="57" t="s">
        <v>753</v>
      </c>
      <c r="C10" s="39"/>
      <c r="D10" s="39"/>
      <c r="E10" s="40"/>
    </row>
    <row r="11" spans="1:5" ht="54" customHeight="1" x14ac:dyDescent="0.3">
      <c r="A11" s="13" t="s">
        <v>754</v>
      </c>
      <c r="B11" s="57" t="s">
        <v>755</v>
      </c>
      <c r="C11" s="39"/>
      <c r="D11" s="39"/>
      <c r="E11" s="40"/>
    </row>
    <row r="12" spans="1:5" ht="54" customHeight="1" x14ac:dyDescent="0.3">
      <c r="A12" s="13" t="s">
        <v>756</v>
      </c>
      <c r="B12" s="57" t="s">
        <v>757</v>
      </c>
      <c r="C12" s="39"/>
      <c r="D12" s="39"/>
      <c r="E12" s="40"/>
    </row>
    <row r="13" spans="1:5" ht="54" customHeight="1" x14ac:dyDescent="0.3">
      <c r="A13" s="13" t="s">
        <v>758</v>
      </c>
      <c r="B13" s="57" t="s">
        <v>759</v>
      </c>
      <c r="C13" s="39"/>
      <c r="D13" s="39"/>
      <c r="E13" s="40"/>
    </row>
    <row r="14" spans="1:5" ht="54" customHeight="1" x14ac:dyDescent="0.3">
      <c r="A14" s="13" t="s">
        <v>760</v>
      </c>
      <c r="B14" s="57" t="s">
        <v>761</v>
      </c>
      <c r="C14" s="39"/>
      <c r="D14" s="39"/>
      <c r="E14" s="40"/>
    </row>
    <row r="15" spans="1:5" ht="72" customHeight="1" x14ac:dyDescent="0.3">
      <c r="A15" s="13" t="s">
        <v>762</v>
      </c>
      <c r="B15" s="57" t="s">
        <v>763</v>
      </c>
      <c r="C15" s="39"/>
      <c r="D15" s="39"/>
      <c r="E15" s="40"/>
    </row>
    <row r="16" spans="1:5" ht="54" customHeight="1" x14ac:dyDescent="0.3">
      <c r="A16" s="13" t="s">
        <v>764</v>
      </c>
      <c r="B16" s="57" t="s">
        <v>765</v>
      </c>
      <c r="C16" s="39"/>
      <c r="D16" s="39"/>
      <c r="E16" s="40"/>
    </row>
    <row r="17" spans="1:5" ht="72" customHeight="1" x14ac:dyDescent="0.3">
      <c r="A17" s="13" t="s">
        <v>766</v>
      </c>
      <c r="B17" s="57" t="s">
        <v>767</v>
      </c>
      <c r="C17" s="39"/>
      <c r="D17" s="39"/>
      <c r="E17" s="40"/>
    </row>
    <row r="18" spans="1:5" ht="54" customHeight="1" x14ac:dyDescent="0.3">
      <c r="A18" s="13" t="s">
        <v>768</v>
      </c>
      <c r="B18" s="57" t="s">
        <v>769</v>
      </c>
      <c r="C18" s="39"/>
      <c r="D18" s="39"/>
      <c r="E18" s="40"/>
    </row>
    <row r="20" spans="1:5" ht="16.8" customHeight="1" x14ac:dyDescent="0.3">
      <c r="A20" s="55" t="s">
        <v>770</v>
      </c>
      <c r="B20" s="39"/>
      <c r="C20" s="39"/>
      <c r="D20" s="39"/>
      <c r="E20" s="40"/>
    </row>
    <row r="21" spans="1:5" ht="15.75" customHeight="1" x14ac:dyDescent="0.3">
      <c r="A21" s="13" t="s">
        <v>771</v>
      </c>
      <c r="B21" s="57" t="s">
        <v>772</v>
      </c>
      <c r="C21" s="39"/>
      <c r="D21" s="39"/>
      <c r="E21" s="40"/>
    </row>
    <row r="22" spans="1:5" ht="72" customHeight="1" x14ac:dyDescent="0.3">
      <c r="A22" s="13" t="s">
        <v>773</v>
      </c>
      <c r="B22" s="57" t="s">
        <v>774</v>
      </c>
      <c r="C22" s="39"/>
      <c r="D22" s="39"/>
      <c r="E22" s="40"/>
    </row>
    <row r="23" spans="1:5" ht="15.75" customHeight="1" x14ac:dyDescent="0.3">
      <c r="A23" s="13" t="s">
        <v>775</v>
      </c>
      <c r="B23" s="57" t="s">
        <v>776</v>
      </c>
      <c r="C23" s="39"/>
      <c r="D23" s="39"/>
      <c r="E23" s="40"/>
    </row>
    <row r="24" spans="1:5" ht="15.75" customHeight="1" x14ac:dyDescent="0.3">
      <c r="A24" s="13" t="s">
        <v>777</v>
      </c>
      <c r="B24" s="57" t="s">
        <v>778</v>
      </c>
      <c r="C24" s="39"/>
      <c r="D24" s="39"/>
      <c r="E24" s="40"/>
    </row>
    <row r="25" spans="1:5" ht="72" customHeight="1" x14ac:dyDescent="0.3">
      <c r="A25" s="13" t="s">
        <v>779</v>
      </c>
      <c r="B25" s="57" t="s">
        <v>780</v>
      </c>
      <c r="C25" s="39"/>
      <c r="D25" s="39"/>
      <c r="E25" s="40"/>
    </row>
    <row r="26" spans="1:5" ht="15.75" customHeight="1" x14ac:dyDescent="0.3"/>
    <row r="27" spans="1:5" ht="15.75" customHeight="1" x14ac:dyDescent="0.3">
      <c r="A27" s="55" t="s">
        <v>781</v>
      </c>
      <c r="B27" s="39"/>
      <c r="C27" s="39"/>
      <c r="D27" s="39"/>
      <c r="E27" s="40"/>
    </row>
    <row r="28" spans="1:5" ht="15.75" customHeight="1" x14ac:dyDescent="0.3">
      <c r="A28" s="13" t="s">
        <v>782</v>
      </c>
      <c r="B28" s="57" t="s">
        <v>783</v>
      </c>
      <c r="C28" s="39"/>
      <c r="D28" s="39"/>
      <c r="E28" s="40"/>
    </row>
    <row r="29" spans="1:5" ht="19.5" customHeight="1" x14ac:dyDescent="0.3">
      <c r="A29" s="13" t="s">
        <v>784</v>
      </c>
      <c r="B29" s="57" t="s">
        <v>785</v>
      </c>
      <c r="C29" s="39"/>
      <c r="D29" s="39"/>
      <c r="E29" s="40"/>
    </row>
    <row r="30" spans="1:5" ht="19.5" customHeight="1" x14ac:dyDescent="0.3">
      <c r="A30" s="13" t="s">
        <v>786</v>
      </c>
      <c r="B30" s="57" t="s">
        <v>787</v>
      </c>
      <c r="C30" s="39"/>
      <c r="D30" s="39"/>
      <c r="E30" s="40"/>
    </row>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6">
    <mergeCell ref="B29:E29"/>
    <mergeCell ref="B10:E10"/>
    <mergeCell ref="B28:E28"/>
    <mergeCell ref="A9:E9"/>
    <mergeCell ref="B14:E14"/>
    <mergeCell ref="B17:E17"/>
    <mergeCell ref="B23:E23"/>
    <mergeCell ref="A4:E4"/>
    <mergeCell ref="A20:E20"/>
    <mergeCell ref="B13:E13"/>
    <mergeCell ref="B6:E6"/>
    <mergeCell ref="B30:E30"/>
    <mergeCell ref="B15:E15"/>
    <mergeCell ref="A1:E1"/>
    <mergeCell ref="B24:E24"/>
    <mergeCell ref="B5:E5"/>
    <mergeCell ref="B16:E16"/>
    <mergeCell ref="B7:E7"/>
    <mergeCell ref="B25:E25"/>
    <mergeCell ref="B22:E22"/>
    <mergeCell ref="A27:E27"/>
    <mergeCell ref="B18:E18"/>
    <mergeCell ref="A2:E2"/>
    <mergeCell ref="B12:E12"/>
    <mergeCell ref="B21:E21"/>
    <mergeCell ref="B11:E1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Tổng hợp</vt:lpstr>
      <vt:lpstr>Đường link quan trọng</vt:lpstr>
      <vt:lpstr>Thành viên nhóm</vt:lpstr>
      <vt:lpstr>Danh sách User Story</vt:lpstr>
      <vt:lpstr>Backlog</vt:lpstr>
      <vt:lpstr>Lộ trình</vt:lpstr>
      <vt:lpstr>Đặc tả tính năng</vt:lpstr>
      <vt:lpstr>Theo dõi lỗi</vt:lpstr>
      <vt:lpstr>Tài liệu quan trọng</vt:lpstr>
      <vt:lpstr>Hướng dẫn sử dụng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Acuña</cp:lastModifiedBy>
  <dcterms:created xsi:type="dcterms:W3CDTF">2026-08-24T10:40:30Z</dcterms:created>
  <dcterms:modified xsi:type="dcterms:W3CDTF">2026-08-25T02:43:13Z</dcterms:modified>
</cp:coreProperties>
</file>